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 NAV SWP" sheetId="1" r:id="rId5"/>
    <sheet state="visible" name="Nifty40 + Debt60 Portfolio" sheetId="2" r:id="rId6"/>
    <sheet state="visible" name="How Much Do You Need" sheetId="3" r:id="rId7"/>
  </sheets>
  <definedNames/>
  <calcPr/>
</workbook>
</file>

<file path=xl/sharedStrings.xml><?xml version="1.0" encoding="utf-8"?>
<sst xmlns="http://schemas.openxmlformats.org/spreadsheetml/2006/main" count="128" uniqueCount="104">
  <si>
    <t>SWP WITH REAL NAV DATA (2000-2026)</t>
  </si>
  <si>
    <t>Change any yellow cell - everything recalculates</t>
  </si>
  <si>
    <t xml:space="preserve">Go to "File" &gt; Make a copy </t>
  </si>
  <si>
    <t>INPUTS</t>
  </si>
  <si>
    <t>RESULTS</t>
  </si>
  <si>
    <t>Investment (₹)</t>
  </si>
  <si>
    <t>Starting Units (=Invest/NAV)</t>
  </si>
  <si>
    <t>Withdrawal Rate</t>
  </si>
  <si>
    <t>Total WD Fixed 26yr</t>
  </si>
  <si>
    <t>Inflation Escalation</t>
  </si>
  <si>
    <t>Total WD Escalation 26yr</t>
  </si>
  <si>
    <t>LTCG Tax Rate</t>
  </si>
  <si>
    <t>Corpus End Fixed</t>
  </si>
  <si>
    <t>LTCG Exemption/Yr</t>
  </si>
  <si>
    <t>Corpus End Escalation</t>
  </si>
  <si>
    <t>Expense Ratio</t>
  </si>
  <si>
    <t>Tax Paid Fixed</t>
  </si>
  <si>
    <t>In-Hand Fixed</t>
  </si>
  <si>
    <t>Yr</t>
  </si>
  <si>
    <t>Year</t>
  </si>
  <si>
    <t>NAV</t>
  </si>
  <si>
    <t>Return</t>
  </si>
  <si>
    <t>WD Fixed</t>
  </si>
  <si>
    <t>WD +6%Inf</t>
  </si>
  <si>
    <t>Units Withdraw</t>
  </si>
  <si>
    <t>Units Withdraw after Inflation</t>
  </si>
  <si>
    <t>Units Fixed</t>
  </si>
  <si>
    <t>Units Left after Inflation</t>
  </si>
  <si>
    <t>Corpus Fix</t>
  </si>
  <si>
    <t>Corpus After Inflation</t>
  </si>
  <si>
    <t>Gain</t>
  </si>
  <si>
    <t>Tax</t>
  </si>
  <si>
    <t>In-Hand</t>
  </si>
  <si>
    <t>—</t>
  </si>
  <si>
    <t>TOTALS</t>
  </si>
  <si>
    <t>DISCLAIMER:</t>
  </si>
  <si>
    <t xml:space="preserve">This is for EDUCATIONAL PURPOSES ONLY. </t>
  </si>
  <si>
    <t>Real 27-year Balanced Advantage Fund NAV data (2000-2026)</t>
  </si>
  <si>
    <t>Shows fixed 4% withdrawal AND 6% inflation-escalated withdrawal side by side</t>
  </si>
  <si>
    <t xml:space="preserve">Tax uses the current Budget 2024 LTCG rules. Also, this fund invests most assets in equity, which is why it is taxed as an equity fund. </t>
  </si>
  <si>
    <t>Calculators are using yearly withdrawals for simplicity.</t>
  </si>
  <si>
    <t>NIFTY 50 TRI (40%) + DEBT (60%) - SWP TEST (2000-2026)</t>
  </si>
  <si>
    <t>Total WD Fixed</t>
  </si>
  <si>
    <t>Total WD Escalation</t>
  </si>
  <si>
    <t xml:space="preserve">Inflation </t>
  </si>
  <si>
    <t>Equity %</t>
  </si>
  <si>
    <t>Corpus End Esc</t>
  </si>
  <si>
    <t>Debt %</t>
  </si>
  <si>
    <t>Debt Return</t>
  </si>
  <si>
    <t>In-Hand Fixed Total</t>
  </si>
  <si>
    <t>Expense Ratio (Index)</t>
  </si>
  <si>
    <t>Debt Tax Rate (Slab)</t>
  </si>
  <si>
    <t>Nifty TRI</t>
  </si>
  <si>
    <t>Nifty Ret</t>
  </si>
  <si>
    <t>Debt Ret</t>
  </si>
  <si>
    <t>Port Ret</t>
  </si>
  <si>
    <t>Start Fix</t>
  </si>
  <si>
    <t>WD Fix</t>
  </si>
  <si>
    <t>Ret Fix</t>
  </si>
  <si>
    <t>End Fix</t>
  </si>
  <si>
    <t>Start Esc</t>
  </si>
  <si>
    <t>WD Esc</t>
  </si>
  <si>
    <t>Ret Esc</t>
  </si>
  <si>
    <t>End Esc</t>
  </si>
  <si>
    <t>Gain Fix</t>
  </si>
  <si>
    <t>Tax Fix</t>
  </si>
  <si>
    <t>InHand Fix</t>
  </si>
  <si>
    <t>Annotation</t>
  </si>
  <si>
    <t>Dot - Com Bubble, Kirtan Parekh Scam</t>
  </si>
  <si>
    <t>Global Financial Crisis</t>
  </si>
  <si>
    <t>Demonatization</t>
  </si>
  <si>
    <t xml:space="preserve">Covid - 19 </t>
  </si>
  <si>
    <t>40% Nifty 50 TRI + 60% Debt at 7% return</t>
  </si>
  <si>
    <t>Expense ratio deducted from returns (for example) &amp; Tax uses current Budget 2024 LTCG rules.</t>
  </si>
  <si>
    <t>Covers ALL major crashes: 2001 dot-com, 2008 Lehman, 2020 COVID, 2025 tariffs</t>
  </si>
  <si>
    <t>Tax (used current tax structure): Equity LTCG 12.5% above ₹1.25L  and not included the 4% 4% health and education cess+ Debt at slab rate (30% default)</t>
  </si>
  <si>
    <t>HOW MUCH DO YOU NEED TO ESCAPE THE RAT RACE?</t>
  </si>
  <si>
    <t>YOUR INPUTS</t>
  </si>
  <si>
    <t>YOUR ANSWERS</t>
  </si>
  <si>
    <t>Current Age</t>
  </si>
  <si>
    <t>Years to Retirement</t>
  </si>
  <si>
    <t>Retirement Age</t>
  </si>
  <si>
    <t>Years Money Must Last</t>
  </si>
  <si>
    <t>Plan Until Age</t>
  </si>
  <si>
    <t>Monthly Expense at Retirement</t>
  </si>
  <si>
    <t>Monthly Expense Today</t>
  </si>
  <si>
    <t>Annual Expense at Retirement</t>
  </si>
  <si>
    <t>Inflation Rate</t>
  </si>
  <si>
    <t>CORPUS YOU NEED</t>
  </si>
  <si>
    <t>Monthly in Final Year</t>
  </si>
  <si>
    <t>Expected Return (Post-Tax)</t>
  </si>
  <si>
    <t>Real Return</t>
  </si>
  <si>
    <t>YEAR-BY-YEAR PROJECTION</t>
  </si>
  <si>
    <t>Age</t>
  </si>
  <si>
    <t>Expense/Yr</t>
  </si>
  <si>
    <t>Corpus Start</t>
  </si>
  <si>
    <t>Returns</t>
  </si>
  <si>
    <t>Corpus End</t>
  </si>
  <si>
    <t>Monthly</t>
  </si>
  <si>
    <t>SWP Formula: A = [P (1+r)^n - W * {(1+r)^n-1}/r]</t>
  </si>
  <si>
    <t>STATUS:</t>
  </si>
  <si>
    <t>Total Withdrawn:</t>
  </si>
  <si>
    <t>YOUR inputs: age, expense, inflation, return, withdrawal rate</t>
  </si>
  <si>
    <t>This excel shows only 35-year of corpus journey year by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</si>
</sst>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##\,##\,##\,##0;[&gt;99999]##\,##\,##0;##,##0"/>
    <numFmt numFmtId="165" formatCode="[&gt;9999999]##\,##\,##\,##0.00;[&gt;99999]##\,##\,##0.00;##,##0.00"/>
    <numFmt numFmtId="166" formatCode="0.0%"/>
    <numFmt numFmtId="167" formatCode="[&gt;9999999]##&quot;,&quot;##&quot;,&quot;##&quot;,&quot;##0;[&gt;99999]##&quot;,&quot;##&quot;,&quot;##0;#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/>
    <font>
      <b/>
      <sz val="10.0"/>
      <color theme="1"/>
      <name val="Arial"/>
    </font>
    <font>
      <sz val="9.0"/>
      <color rgb="FF888888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0000CC"/>
      <name val="Arial"/>
    </font>
    <font>
      <b/>
      <color theme="1"/>
      <name val="Arial"/>
      <scheme val="minor"/>
    </font>
    <font>
      <b/>
      <sz val="10.0"/>
      <color rgb="FFFFFFFF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3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A61C00"/>
        <bgColor rgb="FFA61C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 shrinkToFit="0" vertical="bottom" wrapText="0"/>
    </xf>
    <xf borderId="2" fillId="3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1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1" fillId="5" fontId="8" numFmtId="164" xfId="0" applyAlignment="1" applyBorder="1" applyFill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0" fillId="0" fontId="1" numFmtId="165" xfId="0" applyFont="1" applyNumberFormat="1"/>
    <xf borderId="1" fillId="5" fontId="8" numFmtId="166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1" numFmtId="164" xfId="0" applyFont="1" applyNumberFormat="1"/>
    <xf borderId="1" fillId="5" fontId="8" numFmtId="166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6" fontId="9" numFmtId="10" xfId="0" applyAlignment="1" applyBorder="1" applyFill="1" applyFont="1" applyNumberFormat="1">
      <alignment horizontal="center" readingOrder="0"/>
    </xf>
    <xf borderId="5" fillId="7" fontId="10" numFmtId="0" xfId="0" applyAlignment="1" applyBorder="1" applyFill="1" applyFont="1">
      <alignment horizontal="center" shrinkToFit="0" vertical="center" wrapText="1"/>
    </xf>
    <xf borderId="5" fillId="7" fontId="10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4" xfId="0" applyAlignment="1" applyBorder="1" applyFont="1" applyNumberForma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7" numFmtId="165" xfId="0" applyAlignment="1" applyBorder="1" applyFont="1" applyNumberFormat="1">
      <alignment horizontal="center" shrinkToFit="0" vertical="center" wrapText="1"/>
    </xf>
    <xf borderId="5" fillId="0" fontId="7" numFmtId="1" xfId="0" applyAlignment="1" applyBorder="1" applyFont="1" applyNumberFormat="1">
      <alignment horizontal="center" shrinkToFit="0" vertical="center" wrapText="1"/>
    </xf>
    <xf borderId="5" fillId="0" fontId="7" numFmtId="166" xfId="0" applyAlignment="1" applyBorder="1" applyFont="1" applyNumberFormat="1">
      <alignment horizontal="center" shrinkToFit="0" vertical="center" wrapText="1"/>
    </xf>
    <xf borderId="1" fillId="8" fontId="9" numFmtId="0" xfId="0" applyAlignment="1" applyBorder="1" applyFill="1" applyFont="1">
      <alignment horizontal="center"/>
    </xf>
    <xf borderId="1" fillId="8" fontId="4" numFmtId="0" xfId="0" applyAlignment="1" applyBorder="1" applyFont="1">
      <alignment horizontal="center" shrinkToFit="0" vertical="bottom" wrapText="0"/>
    </xf>
    <xf borderId="1" fillId="8" fontId="4" numFmtId="164" xfId="0" applyAlignment="1" applyBorder="1" applyFont="1" applyNumberFormat="1">
      <alignment horizontal="center" shrinkToFit="0" vertical="bottom" wrapText="0"/>
    </xf>
    <xf borderId="1" fillId="8" fontId="9" numFmtId="165" xfId="0" applyAlignment="1" applyBorder="1" applyFont="1" applyNumberFormat="1">
      <alignment horizontal="center"/>
    </xf>
    <xf borderId="1" fillId="8" fontId="9" numFmtId="164" xfId="0" applyAlignment="1" applyBorder="1" applyFont="1" applyNumberFormat="1">
      <alignment horizontal="center"/>
    </xf>
    <xf borderId="0" fillId="0" fontId="6" numFmtId="0" xfId="0" applyAlignment="1" applyFont="1">
      <alignment shrinkToFit="0" vertical="bottom" wrapText="0"/>
    </xf>
    <xf borderId="0" fillId="6" fontId="6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readingOrder="0" shrinkToFit="0" vertical="bottom" wrapText="0"/>
    </xf>
    <xf borderId="1" fillId="5" fontId="8" numFmtId="167" xfId="0" applyAlignment="1" applyBorder="1" applyFont="1" applyNumberForma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5" fontId="8" numFmtId="167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/>
    </xf>
    <xf borderId="5" fillId="0" fontId="7" numFmtId="167" xfId="0" applyAlignment="1" applyBorder="1" applyFont="1" applyNumberFormat="1">
      <alignment horizontal="center" shrinkToFit="0" vertical="center" wrapText="1"/>
    </xf>
    <xf borderId="0" fillId="0" fontId="1" numFmtId="10" xfId="0" applyFont="1" applyNumberFormat="1"/>
    <xf borderId="0" fillId="0" fontId="1" numFmtId="167" xfId="0" applyFont="1" applyNumberForma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shrinkToFit="0" vertical="bottom" wrapText="0"/>
    </xf>
    <xf borderId="0" fillId="0" fontId="1" numFmtId="167" xfId="0" applyAlignment="1" applyFont="1" applyNumberFormat="1">
      <alignment horizontal="center"/>
    </xf>
    <xf borderId="5" fillId="0" fontId="4" numFmtId="167" xfId="0" applyAlignment="1" applyBorder="1" applyFont="1" applyNumberFormat="1">
      <alignment horizontal="center" shrinkToFit="0" vertical="bottom" wrapText="0"/>
    </xf>
    <xf borderId="0" fillId="6" fontId="11" numFmtId="0" xfId="0" applyAlignment="1" applyFont="1">
      <alignment readingOrder="0" shrinkToFit="0" vertical="bottom" wrapText="1"/>
    </xf>
    <xf borderId="0" fillId="6" fontId="7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0"/>
    </xf>
    <xf borderId="1" fillId="5" fontId="8" numFmtId="1" xfId="0" applyAlignment="1" applyBorder="1" applyFont="1" applyNumberFormat="1">
      <alignment horizontal="center" readingOrder="0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5" fontId="8" numFmtId="164" xfId="0" applyAlignment="1" applyBorder="1" applyFont="1" applyNumberFormat="1">
      <alignment horizontal="center" readingOrder="0" shrinkToFit="0" vertical="center" wrapText="1"/>
    </xf>
    <xf borderId="1" fillId="9" fontId="13" numFmtId="0" xfId="0" applyAlignment="1" applyBorder="1" applyFill="1" applyFont="1">
      <alignment horizontal="left" shrinkToFit="0" vertical="center" wrapText="1"/>
    </xf>
    <xf borderId="1" fillId="9" fontId="13" numFmtId="164" xfId="0" applyAlignment="1" applyBorder="1" applyFont="1" applyNumberFormat="1">
      <alignment horizontal="center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0" fillId="0" fontId="1" numFmtId="0" xfId="0" applyFont="1"/>
    <xf borderId="0" fillId="0" fontId="4" numFmtId="164" xfId="0" applyAlignment="1" applyFont="1" applyNumberFormat="1">
      <alignment horizontal="center" shrinkToFit="0" vertical="bottom" wrapText="0"/>
    </xf>
    <xf borderId="0" fillId="6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104775</xdr:colOff>
      <xdr:row>144</xdr:row>
      <xdr:rowOff>114300</xdr:rowOff>
    </xdr:from>
    <xdr:ext cx="7858125" cy="407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144</xdr:row>
      <xdr:rowOff>114300</xdr:rowOff>
    </xdr:from>
    <xdr:ext cx="10058400" cy="4933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7.88"/>
    <col customWidth="1" min="3" max="3" width="21.5"/>
    <col customWidth="1" min="4" max="4" width="9.63"/>
    <col customWidth="1" min="5" max="5" width="27.5"/>
    <col customWidth="1" min="6" max="6" width="21.88"/>
    <col customWidth="1" min="7" max="7" width="15.0"/>
    <col customWidth="1" min="8" max="8" width="18.25"/>
    <col customWidth="1" min="9" max="10" width="20.13"/>
    <col customWidth="1" min="11" max="11" width="24.0"/>
    <col customWidth="1" min="12" max="12" width="12.25"/>
    <col customWidth="1" min="13" max="13" width="18.88"/>
    <col customWidth="1" min="14" max="14" width="11.38"/>
    <col customWidth="1" min="15" max="15" width="10.5"/>
    <col customWidth="1" min="16" max="16" width="11.38"/>
    <col customWidth="1" min="17" max="17" width="18.0"/>
    <col customWidth="1" min="18" max="26" width="7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5" t="s">
        <v>1</v>
      </c>
    </row>
    <row r="3">
      <c r="B3" s="6" t="s">
        <v>2</v>
      </c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5">
      <c r="B5" s="8" t="s">
        <v>3</v>
      </c>
      <c r="C5" s="9"/>
      <c r="E5" s="8" t="s">
        <v>4</v>
      </c>
      <c r="F5" s="9"/>
    </row>
    <row r="6">
      <c r="B6" s="10" t="s">
        <v>5</v>
      </c>
      <c r="C6" s="11">
        <v>1.0E7</v>
      </c>
      <c r="E6" s="10" t="s">
        <v>6</v>
      </c>
      <c r="F6" s="12">
        <f>C6/D15</f>
        <v>1241002.73</v>
      </c>
      <c r="G6" s="13"/>
      <c r="H6" s="13"/>
      <c r="I6" s="13"/>
    </row>
    <row r="7">
      <c r="B7" s="10" t="s">
        <v>7</v>
      </c>
      <c r="C7" s="14">
        <v>0.04</v>
      </c>
      <c r="E7" s="10" t="s">
        <v>8</v>
      </c>
      <c r="F7" s="15">
        <f>SUM(F16:F41)</f>
        <v>10400000</v>
      </c>
      <c r="G7" s="16"/>
      <c r="H7" s="16"/>
      <c r="I7" s="16"/>
    </row>
    <row r="8">
      <c r="B8" s="10" t="s">
        <v>9</v>
      </c>
      <c r="C8" s="17">
        <v>0.06</v>
      </c>
      <c r="E8" s="10" t="s">
        <v>10</v>
      </c>
      <c r="F8" s="15">
        <f>SUM(G16:G41)</f>
        <v>23662553.09</v>
      </c>
      <c r="G8" s="16"/>
      <c r="H8" s="16"/>
      <c r="I8" s="16"/>
    </row>
    <row r="9">
      <c r="B9" s="10" t="s">
        <v>11</v>
      </c>
      <c r="C9" s="17">
        <v>0.125</v>
      </c>
      <c r="E9" s="10" t="s">
        <v>12</v>
      </c>
      <c r="F9" s="15">
        <f>L41</f>
        <v>544773750.7</v>
      </c>
      <c r="G9" s="16"/>
      <c r="H9" s="16"/>
      <c r="I9" s="16"/>
    </row>
    <row r="10">
      <c r="B10" s="10" t="s">
        <v>13</v>
      </c>
      <c r="C10" s="11">
        <v>125000.0</v>
      </c>
      <c r="E10" s="10" t="s">
        <v>14</v>
      </c>
      <c r="F10" s="15">
        <f>M41</f>
        <v>488310707.3</v>
      </c>
      <c r="G10" s="18"/>
      <c r="H10" s="16"/>
      <c r="I10" s="16"/>
    </row>
    <row r="11">
      <c r="B11" s="19" t="s">
        <v>15</v>
      </c>
      <c r="C11" s="20">
        <v>0.0075</v>
      </c>
      <c r="E11" s="10" t="s">
        <v>16</v>
      </c>
      <c r="F11" s="15">
        <f>SUM(O16:O41)</f>
        <v>659310.0238</v>
      </c>
      <c r="G11" s="16"/>
      <c r="H11" s="16"/>
      <c r="I11" s="16"/>
    </row>
    <row r="12">
      <c r="E12" s="10" t="s">
        <v>17</v>
      </c>
      <c r="F12" s="15">
        <f>F7-F11</f>
        <v>9740689.976</v>
      </c>
      <c r="G12" s="16"/>
      <c r="H12" s="16"/>
      <c r="I12" s="16"/>
    </row>
    <row r="14">
      <c r="B14" s="21" t="s">
        <v>18</v>
      </c>
      <c r="C14" s="21" t="s">
        <v>19</v>
      </c>
      <c r="D14" s="21" t="s">
        <v>20</v>
      </c>
      <c r="E14" s="21" t="s">
        <v>21</v>
      </c>
      <c r="F14" s="21" t="s">
        <v>22</v>
      </c>
      <c r="G14" s="22" t="s">
        <v>23</v>
      </c>
      <c r="H14" s="22" t="s">
        <v>24</v>
      </c>
      <c r="I14" s="22" t="s">
        <v>25</v>
      </c>
      <c r="J14" s="22" t="s">
        <v>26</v>
      </c>
      <c r="K14" s="22" t="s">
        <v>27</v>
      </c>
      <c r="L14" s="21" t="s">
        <v>28</v>
      </c>
      <c r="M14" s="22" t="s">
        <v>29</v>
      </c>
      <c r="N14" s="21" t="s">
        <v>30</v>
      </c>
      <c r="O14" s="21" t="s">
        <v>31</v>
      </c>
      <c r="P14" s="21" t="s">
        <v>32</v>
      </c>
    </row>
    <row r="15">
      <c r="B15" s="23">
        <v>0.0</v>
      </c>
      <c r="C15" s="23">
        <v>2000.0</v>
      </c>
      <c r="D15" s="24">
        <v>8.058</v>
      </c>
      <c r="E15" s="23" t="s">
        <v>33</v>
      </c>
      <c r="F15" s="25">
        <v>0.0</v>
      </c>
      <c r="G15" s="25">
        <v>0.0</v>
      </c>
      <c r="H15" s="26">
        <v>0.0</v>
      </c>
      <c r="I15" s="26">
        <v>0.0</v>
      </c>
      <c r="J15" s="26">
        <f t="shared" ref="J15:K15" si="1">$F$6</f>
        <v>1241002.73</v>
      </c>
      <c r="K15" s="26">
        <f t="shared" si="1"/>
        <v>1241002.73</v>
      </c>
      <c r="L15" s="25">
        <f t="shared" ref="L15:L41" si="4">J15*D15</f>
        <v>10000000</v>
      </c>
      <c r="M15" s="25">
        <f t="shared" ref="M15:M41" si="5">K15*D15</f>
        <v>10000000</v>
      </c>
      <c r="N15" s="25">
        <v>0.0</v>
      </c>
      <c r="O15" s="25">
        <v>0.0</v>
      </c>
      <c r="P15" s="25">
        <v>0.0</v>
      </c>
      <c r="Q15" s="16">
        <f t="shared" ref="Q15:Q41" si="6">G15-O15</f>
        <v>0</v>
      </c>
    </row>
    <row r="16">
      <c r="B16" s="27">
        <v>1.0</v>
      </c>
      <c r="C16" s="27">
        <v>2001.0</v>
      </c>
      <c r="D16" s="24">
        <v>7.538</v>
      </c>
      <c r="E16" s="28">
        <f t="shared" ref="E16:E41" si="7">(D16-D15)/D15</f>
        <v>-0.06453214197</v>
      </c>
      <c r="F16" s="25">
        <f t="shared" ref="F16:G16" si="2">$C$6*$C$7</f>
        <v>400000</v>
      </c>
      <c r="G16" s="25">
        <f t="shared" si="2"/>
        <v>400000</v>
      </c>
      <c r="H16" s="26">
        <f t="shared" ref="H16:H41" si="8">F16/D16</f>
        <v>53064.47334</v>
      </c>
      <c r="I16" s="26">
        <f t="shared" ref="I16:I41" si="9">G16/D16</f>
        <v>53064.47334</v>
      </c>
      <c r="J16" s="26">
        <f t="shared" ref="J16:K16" si="3">MAX(J15-H16,0)</f>
        <v>1187938.257</v>
      </c>
      <c r="K16" s="26">
        <f t="shared" si="3"/>
        <v>1187938.257</v>
      </c>
      <c r="L16" s="25">
        <f t="shared" si="4"/>
        <v>8954678.58</v>
      </c>
      <c r="M16" s="25">
        <f t="shared" si="5"/>
        <v>8954678.58</v>
      </c>
      <c r="N16" s="25">
        <f t="shared" ref="N16:N41" si="11">MAX(F16*(1-$D$15/D16),0)</f>
        <v>0</v>
      </c>
      <c r="O16" s="25">
        <f t="shared" ref="O16:O41" si="12">MAX((N16-$C$10)*$C$9,0)</f>
        <v>0</v>
      </c>
      <c r="P16" s="25">
        <f t="shared" ref="P16:P41" si="13">F16-O16</f>
        <v>400000</v>
      </c>
      <c r="Q16" s="16">
        <f t="shared" si="6"/>
        <v>400000</v>
      </c>
    </row>
    <row r="17">
      <c r="B17" s="27">
        <v>2.0</v>
      </c>
      <c r="C17" s="27">
        <v>2002.0</v>
      </c>
      <c r="D17" s="24">
        <v>8.128</v>
      </c>
      <c r="E17" s="28">
        <f t="shared" si="7"/>
        <v>0.07827009817</v>
      </c>
      <c r="F17" s="25">
        <f t="shared" ref="F17:F41" si="14">$C$6*$C$7</f>
        <v>400000</v>
      </c>
      <c r="G17" s="25">
        <f t="shared" ref="G17:G41" si="15">G16*(1+$C$8)</f>
        <v>424000</v>
      </c>
      <c r="H17" s="26">
        <f t="shared" si="8"/>
        <v>49212.59843</v>
      </c>
      <c r="I17" s="26">
        <f t="shared" si="9"/>
        <v>52165.35433</v>
      </c>
      <c r="J17" s="26">
        <f t="shared" ref="J17:K17" si="10">MAX(J16-H17,0)</f>
        <v>1138725.658</v>
      </c>
      <c r="K17" s="26">
        <f t="shared" si="10"/>
        <v>1135772.903</v>
      </c>
      <c r="L17" s="25">
        <f t="shared" si="4"/>
        <v>9255562.152</v>
      </c>
      <c r="M17" s="25">
        <f t="shared" si="5"/>
        <v>9231562.152</v>
      </c>
      <c r="N17" s="25">
        <f t="shared" si="11"/>
        <v>3444.88189</v>
      </c>
      <c r="O17" s="25">
        <f t="shared" si="12"/>
        <v>0</v>
      </c>
      <c r="P17" s="25">
        <f t="shared" si="13"/>
        <v>400000</v>
      </c>
      <c r="Q17" s="16">
        <f t="shared" si="6"/>
        <v>424000</v>
      </c>
    </row>
    <row r="18">
      <c r="B18" s="27">
        <v>3.0</v>
      </c>
      <c r="C18" s="27">
        <v>2003.0</v>
      </c>
      <c r="D18" s="24">
        <v>9.187</v>
      </c>
      <c r="E18" s="28">
        <f t="shared" si="7"/>
        <v>0.1302903543</v>
      </c>
      <c r="F18" s="25">
        <f t="shared" si="14"/>
        <v>400000</v>
      </c>
      <c r="G18" s="25">
        <f t="shared" si="15"/>
        <v>449440</v>
      </c>
      <c r="H18" s="26">
        <f t="shared" si="8"/>
        <v>43539.78448</v>
      </c>
      <c r="I18" s="26">
        <f t="shared" si="9"/>
        <v>48921.30184</v>
      </c>
      <c r="J18" s="26">
        <f t="shared" ref="J18:K18" si="16">MAX(J17-H18,0)</f>
        <v>1095185.874</v>
      </c>
      <c r="K18" s="26">
        <f t="shared" si="16"/>
        <v>1086851.601</v>
      </c>
      <c r="L18" s="25">
        <f t="shared" si="4"/>
        <v>10061472.62</v>
      </c>
      <c r="M18" s="25">
        <f t="shared" si="5"/>
        <v>9984905.656</v>
      </c>
      <c r="N18" s="25">
        <f t="shared" si="11"/>
        <v>49156.41668</v>
      </c>
      <c r="O18" s="25">
        <f t="shared" si="12"/>
        <v>0</v>
      </c>
      <c r="P18" s="25">
        <f t="shared" si="13"/>
        <v>400000</v>
      </c>
      <c r="Q18" s="16">
        <f t="shared" si="6"/>
        <v>449440</v>
      </c>
    </row>
    <row r="19">
      <c r="B19" s="27">
        <v>4.0</v>
      </c>
      <c r="C19" s="27">
        <v>2004.0</v>
      </c>
      <c r="D19" s="24">
        <v>17.118</v>
      </c>
      <c r="E19" s="28">
        <f t="shared" si="7"/>
        <v>0.8632850767</v>
      </c>
      <c r="F19" s="25">
        <f t="shared" si="14"/>
        <v>400000</v>
      </c>
      <c r="G19" s="25">
        <f t="shared" si="15"/>
        <v>476406.4</v>
      </c>
      <c r="H19" s="26">
        <f t="shared" si="8"/>
        <v>23367.2158</v>
      </c>
      <c r="I19" s="26">
        <f t="shared" si="9"/>
        <v>27830.72789</v>
      </c>
      <c r="J19" s="26">
        <f t="shared" ref="J19:K19" si="17">MAX(J18-H19,0)</f>
        <v>1071818.658</v>
      </c>
      <c r="K19" s="26">
        <f t="shared" si="17"/>
        <v>1059020.873</v>
      </c>
      <c r="L19" s="25">
        <f t="shared" si="4"/>
        <v>18347391.79</v>
      </c>
      <c r="M19" s="25">
        <f t="shared" si="5"/>
        <v>18128319.3</v>
      </c>
      <c r="N19" s="25">
        <f t="shared" si="11"/>
        <v>211706.9751</v>
      </c>
      <c r="O19" s="25">
        <f t="shared" si="12"/>
        <v>10838.37189</v>
      </c>
      <c r="P19" s="25">
        <f t="shared" si="13"/>
        <v>389161.6281</v>
      </c>
      <c r="Q19" s="16">
        <f t="shared" si="6"/>
        <v>465568.0281</v>
      </c>
    </row>
    <row r="20">
      <c r="B20" s="27">
        <v>5.0</v>
      </c>
      <c r="C20" s="27">
        <v>2005.0</v>
      </c>
      <c r="D20" s="24">
        <v>22.123</v>
      </c>
      <c r="E20" s="28">
        <f t="shared" si="7"/>
        <v>0.2923822877</v>
      </c>
      <c r="F20" s="25">
        <f t="shared" si="14"/>
        <v>400000</v>
      </c>
      <c r="G20" s="25">
        <f t="shared" si="15"/>
        <v>504990.784</v>
      </c>
      <c r="H20" s="26">
        <f t="shared" si="8"/>
        <v>18080.73046</v>
      </c>
      <c r="I20" s="26">
        <f t="shared" si="9"/>
        <v>22826.50563</v>
      </c>
      <c r="J20" s="26">
        <f t="shared" ref="J20:K20" si="18">MAX(J19-H20,0)</f>
        <v>1053737.928</v>
      </c>
      <c r="K20" s="26">
        <f t="shared" si="18"/>
        <v>1036194.367</v>
      </c>
      <c r="L20" s="25">
        <f t="shared" si="4"/>
        <v>23311844.17</v>
      </c>
      <c r="M20" s="25">
        <f t="shared" si="5"/>
        <v>22923727.99</v>
      </c>
      <c r="N20" s="25">
        <f t="shared" si="11"/>
        <v>254305.4739</v>
      </c>
      <c r="O20" s="25">
        <f t="shared" si="12"/>
        <v>16163.18424</v>
      </c>
      <c r="P20" s="25">
        <f t="shared" si="13"/>
        <v>383836.8158</v>
      </c>
      <c r="Q20" s="16">
        <f t="shared" si="6"/>
        <v>488827.5998</v>
      </c>
    </row>
    <row r="21">
      <c r="B21" s="27">
        <v>6.0</v>
      </c>
      <c r="C21" s="27">
        <v>2006.0</v>
      </c>
      <c r="D21" s="24">
        <v>33.582</v>
      </c>
      <c r="E21" s="28">
        <f t="shared" si="7"/>
        <v>0.5179677259</v>
      </c>
      <c r="F21" s="25">
        <f t="shared" si="14"/>
        <v>400000</v>
      </c>
      <c r="G21" s="25">
        <f t="shared" si="15"/>
        <v>535290.231</v>
      </c>
      <c r="H21" s="26">
        <f t="shared" si="8"/>
        <v>11911.14287</v>
      </c>
      <c r="I21" s="26">
        <f t="shared" si="9"/>
        <v>15939.79605</v>
      </c>
      <c r="J21" s="26">
        <f t="shared" ref="J21:K21" si="19">MAX(J20-H21,0)</f>
        <v>1041826.785</v>
      </c>
      <c r="K21" s="26">
        <f t="shared" si="19"/>
        <v>1020254.571</v>
      </c>
      <c r="L21" s="25">
        <f t="shared" si="4"/>
        <v>34986627.09</v>
      </c>
      <c r="M21" s="25">
        <f t="shared" si="5"/>
        <v>34262189.01</v>
      </c>
      <c r="N21" s="25">
        <f t="shared" si="11"/>
        <v>304020.0107</v>
      </c>
      <c r="O21" s="25">
        <f t="shared" si="12"/>
        <v>22377.50134</v>
      </c>
      <c r="P21" s="25">
        <f t="shared" si="13"/>
        <v>377622.4987</v>
      </c>
      <c r="Q21" s="16">
        <f t="shared" si="6"/>
        <v>512912.7297</v>
      </c>
    </row>
    <row r="22">
      <c r="B22" s="27">
        <v>7.0</v>
      </c>
      <c r="C22" s="27">
        <v>2007.0</v>
      </c>
      <c r="D22" s="24">
        <v>41.482</v>
      </c>
      <c r="E22" s="28">
        <f t="shared" si="7"/>
        <v>0.2352450718</v>
      </c>
      <c r="F22" s="25">
        <f t="shared" si="14"/>
        <v>400000</v>
      </c>
      <c r="G22" s="25">
        <f t="shared" si="15"/>
        <v>567407.6449</v>
      </c>
      <c r="H22" s="26">
        <f t="shared" si="8"/>
        <v>9642.736609</v>
      </c>
      <c r="I22" s="26">
        <f t="shared" si="9"/>
        <v>13678.40617</v>
      </c>
      <c r="J22" s="26">
        <f t="shared" ref="J22:K22" si="20">MAX(J21-H22,0)</f>
        <v>1032184.048</v>
      </c>
      <c r="K22" s="26">
        <f t="shared" si="20"/>
        <v>1006576.165</v>
      </c>
      <c r="L22" s="25">
        <f t="shared" si="4"/>
        <v>42817058.69</v>
      </c>
      <c r="M22" s="25">
        <f t="shared" si="5"/>
        <v>41754792.47</v>
      </c>
      <c r="N22" s="25">
        <f t="shared" si="11"/>
        <v>322298.8284</v>
      </c>
      <c r="O22" s="25">
        <f t="shared" si="12"/>
        <v>24662.35355</v>
      </c>
      <c r="P22" s="25">
        <f t="shared" si="13"/>
        <v>375337.6464</v>
      </c>
      <c r="Q22" s="16">
        <f t="shared" si="6"/>
        <v>542745.2914</v>
      </c>
    </row>
    <row r="23">
      <c r="B23" s="27">
        <v>8.0</v>
      </c>
      <c r="C23" s="27">
        <v>2008.0</v>
      </c>
      <c r="D23" s="24">
        <v>51.164</v>
      </c>
      <c r="E23" s="28">
        <f t="shared" si="7"/>
        <v>0.2334024396</v>
      </c>
      <c r="F23" s="25">
        <f t="shared" si="14"/>
        <v>400000</v>
      </c>
      <c r="G23" s="25">
        <f t="shared" si="15"/>
        <v>601452.1036</v>
      </c>
      <c r="H23" s="26">
        <f t="shared" si="8"/>
        <v>7817.997029</v>
      </c>
      <c r="I23" s="26">
        <f t="shared" si="9"/>
        <v>11755.3769</v>
      </c>
      <c r="J23" s="26">
        <f t="shared" ref="J23:K23" si="21">MAX(J22-H23,0)</f>
        <v>1024366.051</v>
      </c>
      <c r="K23" s="26">
        <f t="shared" si="21"/>
        <v>994820.7881</v>
      </c>
      <c r="L23" s="25">
        <f t="shared" si="4"/>
        <v>52410664.64</v>
      </c>
      <c r="M23" s="25">
        <f t="shared" si="5"/>
        <v>50899010.8</v>
      </c>
      <c r="N23" s="25">
        <f t="shared" si="11"/>
        <v>337002.5799</v>
      </c>
      <c r="O23" s="25">
        <f t="shared" si="12"/>
        <v>26500.32249</v>
      </c>
      <c r="P23" s="25">
        <f t="shared" si="13"/>
        <v>373499.6775</v>
      </c>
      <c r="Q23" s="16">
        <f t="shared" si="6"/>
        <v>574951.7811</v>
      </c>
    </row>
    <row r="24">
      <c r="B24" s="27">
        <v>9.0</v>
      </c>
      <c r="C24" s="27">
        <v>2009.0</v>
      </c>
      <c r="D24" s="24">
        <v>31.129</v>
      </c>
      <c r="E24" s="28">
        <f t="shared" si="7"/>
        <v>-0.3915839262</v>
      </c>
      <c r="F24" s="25">
        <f t="shared" si="14"/>
        <v>400000</v>
      </c>
      <c r="G24" s="25">
        <f t="shared" si="15"/>
        <v>637539.2298</v>
      </c>
      <c r="H24" s="26">
        <f t="shared" si="8"/>
        <v>12849.75425</v>
      </c>
      <c r="I24" s="26">
        <f t="shared" si="9"/>
        <v>20480.55607</v>
      </c>
      <c r="J24" s="26">
        <f t="shared" ref="J24:K24" si="22">MAX(J23-H24,0)</f>
        <v>1011516.297</v>
      </c>
      <c r="K24" s="26">
        <f t="shared" si="22"/>
        <v>974340.232</v>
      </c>
      <c r="L24" s="25">
        <f t="shared" si="4"/>
        <v>31487490.81</v>
      </c>
      <c r="M24" s="25">
        <f t="shared" si="5"/>
        <v>30330237.08</v>
      </c>
      <c r="N24" s="25">
        <f t="shared" si="11"/>
        <v>296456.6803</v>
      </c>
      <c r="O24" s="25">
        <f t="shared" si="12"/>
        <v>21432.08503</v>
      </c>
      <c r="P24" s="25">
        <f t="shared" si="13"/>
        <v>378567.915</v>
      </c>
      <c r="Q24" s="16">
        <f t="shared" si="6"/>
        <v>616107.1448</v>
      </c>
    </row>
    <row r="25">
      <c r="B25" s="27">
        <v>10.0</v>
      </c>
      <c r="C25" s="27">
        <v>2010.0</v>
      </c>
      <c r="D25" s="24">
        <v>65.349</v>
      </c>
      <c r="E25" s="28">
        <f t="shared" si="7"/>
        <v>1.099296476</v>
      </c>
      <c r="F25" s="25">
        <f t="shared" si="14"/>
        <v>400000</v>
      </c>
      <c r="G25" s="25">
        <f t="shared" si="15"/>
        <v>675791.5836</v>
      </c>
      <c r="H25" s="26">
        <f t="shared" si="8"/>
        <v>6120.981193</v>
      </c>
      <c r="I25" s="26">
        <f t="shared" si="9"/>
        <v>10341.26893</v>
      </c>
      <c r="J25" s="26">
        <f t="shared" ref="J25:K25" si="23">MAX(J24-H25,0)</f>
        <v>1005395.316</v>
      </c>
      <c r="K25" s="26">
        <f t="shared" si="23"/>
        <v>963998.9631</v>
      </c>
      <c r="L25" s="25">
        <f t="shared" si="4"/>
        <v>65701578.49</v>
      </c>
      <c r="M25" s="25">
        <f t="shared" si="5"/>
        <v>62996368.24</v>
      </c>
      <c r="N25" s="25">
        <f t="shared" si="11"/>
        <v>350677.1335</v>
      </c>
      <c r="O25" s="25">
        <f t="shared" si="12"/>
        <v>28209.64169</v>
      </c>
      <c r="P25" s="25">
        <f t="shared" si="13"/>
        <v>371790.3583</v>
      </c>
      <c r="Q25" s="16">
        <f t="shared" si="6"/>
        <v>647581.9419</v>
      </c>
    </row>
    <row r="26">
      <c r="B26" s="27">
        <v>11.0</v>
      </c>
      <c r="C26" s="27">
        <v>2011.0</v>
      </c>
      <c r="D26" s="24">
        <v>76.029</v>
      </c>
      <c r="E26" s="28">
        <f t="shared" si="7"/>
        <v>0.1634301979</v>
      </c>
      <c r="F26" s="25">
        <f t="shared" si="14"/>
        <v>400000</v>
      </c>
      <c r="G26" s="25">
        <f t="shared" si="15"/>
        <v>716339.0786</v>
      </c>
      <c r="H26" s="26">
        <f t="shared" si="8"/>
        <v>5261.150351</v>
      </c>
      <c r="I26" s="26">
        <f t="shared" si="9"/>
        <v>9421.918986</v>
      </c>
      <c r="J26" s="26">
        <f t="shared" ref="J26:K26" si="24">MAX(J25-H26,0)</f>
        <v>1000134.165</v>
      </c>
      <c r="K26" s="26">
        <f t="shared" si="24"/>
        <v>954577.0441</v>
      </c>
      <c r="L26" s="25">
        <f t="shared" si="4"/>
        <v>76039200.46</v>
      </c>
      <c r="M26" s="25">
        <f t="shared" si="5"/>
        <v>72575538.08</v>
      </c>
      <c r="N26" s="25">
        <f t="shared" si="11"/>
        <v>357605.6505</v>
      </c>
      <c r="O26" s="25">
        <f t="shared" si="12"/>
        <v>29075.70631</v>
      </c>
      <c r="P26" s="25">
        <f t="shared" si="13"/>
        <v>370924.2937</v>
      </c>
      <c r="Q26" s="16">
        <f t="shared" si="6"/>
        <v>687263.3723</v>
      </c>
    </row>
    <row r="27">
      <c r="B27" s="27">
        <v>12.0</v>
      </c>
      <c r="C27" s="27">
        <v>2012.0</v>
      </c>
      <c r="D27" s="24">
        <v>79.552</v>
      </c>
      <c r="E27" s="28">
        <f t="shared" si="7"/>
        <v>0.04633758171</v>
      </c>
      <c r="F27" s="25">
        <f t="shared" si="14"/>
        <v>400000</v>
      </c>
      <c r="G27" s="25">
        <f t="shared" si="15"/>
        <v>759319.4233</v>
      </c>
      <c r="H27" s="26">
        <f t="shared" si="8"/>
        <v>5028.157683</v>
      </c>
      <c r="I27" s="26">
        <f t="shared" si="9"/>
        <v>9544.944481</v>
      </c>
      <c r="J27" s="26">
        <f t="shared" ref="J27:K27" si="25">MAX(J26-H27,0)</f>
        <v>995106.0077</v>
      </c>
      <c r="K27" s="26">
        <f t="shared" si="25"/>
        <v>945032.0996</v>
      </c>
      <c r="L27" s="25">
        <f t="shared" si="4"/>
        <v>79162673.13</v>
      </c>
      <c r="M27" s="25">
        <f t="shared" si="5"/>
        <v>75179193.59</v>
      </c>
      <c r="N27" s="25">
        <f t="shared" si="11"/>
        <v>359483.1054</v>
      </c>
      <c r="O27" s="25">
        <f t="shared" si="12"/>
        <v>29310.38817</v>
      </c>
      <c r="P27" s="25">
        <f t="shared" si="13"/>
        <v>370689.6118</v>
      </c>
      <c r="Q27" s="16">
        <f t="shared" si="6"/>
        <v>730009.0352</v>
      </c>
    </row>
    <row r="28">
      <c r="B28" s="27">
        <v>13.0</v>
      </c>
      <c r="C28" s="27">
        <v>2013.0</v>
      </c>
      <c r="D28" s="24">
        <v>84.033</v>
      </c>
      <c r="E28" s="28">
        <f t="shared" si="7"/>
        <v>0.05632793644</v>
      </c>
      <c r="F28" s="25">
        <f t="shared" si="14"/>
        <v>400000</v>
      </c>
      <c r="G28" s="25">
        <f t="shared" si="15"/>
        <v>804878.5887</v>
      </c>
      <c r="H28" s="26">
        <f t="shared" si="8"/>
        <v>4760.034748</v>
      </c>
      <c r="I28" s="26">
        <f t="shared" si="9"/>
        <v>9578.125126</v>
      </c>
      <c r="J28" s="26">
        <f t="shared" ref="J28:K28" si="26">MAX(J27-H28,0)</f>
        <v>990345.973</v>
      </c>
      <c r="K28" s="26">
        <f t="shared" si="26"/>
        <v>935453.9745</v>
      </c>
      <c r="L28" s="25">
        <f t="shared" si="4"/>
        <v>83221743.15</v>
      </c>
      <c r="M28" s="25">
        <f t="shared" si="5"/>
        <v>78609003.84</v>
      </c>
      <c r="N28" s="25">
        <f t="shared" si="11"/>
        <v>361643.64</v>
      </c>
      <c r="O28" s="25">
        <f t="shared" si="12"/>
        <v>29580.455</v>
      </c>
      <c r="P28" s="25">
        <f t="shared" si="13"/>
        <v>370419.545</v>
      </c>
      <c r="Q28" s="16">
        <f t="shared" si="6"/>
        <v>775298.1337</v>
      </c>
    </row>
    <row r="29">
      <c r="B29" s="27">
        <v>14.0</v>
      </c>
      <c r="C29" s="27">
        <v>2014.0</v>
      </c>
      <c r="D29" s="24">
        <v>91.208</v>
      </c>
      <c r="E29" s="28">
        <f t="shared" si="7"/>
        <v>0.0853831233</v>
      </c>
      <c r="F29" s="25">
        <f t="shared" si="14"/>
        <v>400000</v>
      </c>
      <c r="G29" s="25">
        <f t="shared" si="15"/>
        <v>853171.3041</v>
      </c>
      <c r="H29" s="26">
        <f t="shared" si="8"/>
        <v>4385.580212</v>
      </c>
      <c r="I29" s="26">
        <f t="shared" si="9"/>
        <v>9354.127972</v>
      </c>
      <c r="J29" s="26">
        <f t="shared" ref="J29:K29" si="27">MAX(J28-H29,0)</f>
        <v>985960.3928</v>
      </c>
      <c r="K29" s="26">
        <f t="shared" si="27"/>
        <v>926099.8465</v>
      </c>
      <c r="L29" s="25">
        <f t="shared" si="4"/>
        <v>89927475.5</v>
      </c>
      <c r="M29" s="25">
        <f t="shared" si="5"/>
        <v>84467714.8</v>
      </c>
      <c r="N29" s="25">
        <f t="shared" si="11"/>
        <v>364660.9946</v>
      </c>
      <c r="O29" s="25">
        <f t="shared" si="12"/>
        <v>29957.62433</v>
      </c>
      <c r="P29" s="25">
        <f t="shared" si="13"/>
        <v>370042.3757</v>
      </c>
      <c r="Q29" s="16">
        <f t="shared" si="6"/>
        <v>823213.6797</v>
      </c>
    </row>
    <row r="30">
      <c r="B30" s="27">
        <v>15.0</v>
      </c>
      <c r="C30" s="27">
        <v>2015.0</v>
      </c>
      <c r="D30" s="24">
        <v>141.541</v>
      </c>
      <c r="E30" s="28">
        <f t="shared" si="7"/>
        <v>0.5518485221</v>
      </c>
      <c r="F30" s="25">
        <f t="shared" si="14"/>
        <v>400000</v>
      </c>
      <c r="G30" s="25">
        <f t="shared" si="15"/>
        <v>904361.5823</v>
      </c>
      <c r="H30" s="26">
        <f t="shared" si="8"/>
        <v>2826.036272</v>
      </c>
      <c r="I30" s="26">
        <f t="shared" si="9"/>
        <v>6389.396587</v>
      </c>
      <c r="J30" s="26">
        <f t="shared" ref="J30:K30" si="28">MAX(J29-H30,0)</f>
        <v>983134.3565</v>
      </c>
      <c r="K30" s="26">
        <f t="shared" si="28"/>
        <v>919710.4499</v>
      </c>
      <c r="L30" s="25">
        <f t="shared" si="4"/>
        <v>139153820</v>
      </c>
      <c r="M30" s="25">
        <f t="shared" si="5"/>
        <v>130176736.8</v>
      </c>
      <c r="N30" s="25">
        <f t="shared" si="11"/>
        <v>377227.7997</v>
      </c>
      <c r="O30" s="25">
        <f t="shared" si="12"/>
        <v>31528.47496</v>
      </c>
      <c r="P30" s="25">
        <f t="shared" si="13"/>
        <v>368471.525</v>
      </c>
      <c r="Q30" s="16">
        <f t="shared" si="6"/>
        <v>872833.1073</v>
      </c>
    </row>
    <row r="31">
      <c r="B31" s="27">
        <v>16.0</v>
      </c>
      <c r="C31" s="27">
        <v>2016.0</v>
      </c>
      <c r="D31" s="24">
        <v>120.912</v>
      </c>
      <c r="E31" s="28">
        <f t="shared" si="7"/>
        <v>-0.1457457556</v>
      </c>
      <c r="F31" s="25">
        <f t="shared" si="14"/>
        <v>400000</v>
      </c>
      <c r="G31" s="25">
        <f t="shared" si="15"/>
        <v>958623.2772</v>
      </c>
      <c r="H31" s="26">
        <f t="shared" si="8"/>
        <v>3308.191081</v>
      </c>
      <c r="I31" s="26">
        <f t="shared" si="9"/>
        <v>7928.27244</v>
      </c>
      <c r="J31" s="26">
        <f t="shared" ref="J31:K31" si="29">MAX(J30-H31,0)</f>
        <v>979826.1654</v>
      </c>
      <c r="K31" s="26">
        <f t="shared" si="29"/>
        <v>911782.1775</v>
      </c>
      <c r="L31" s="25">
        <f t="shared" si="4"/>
        <v>118472741.3</v>
      </c>
      <c r="M31" s="25">
        <f t="shared" si="5"/>
        <v>110245406.6</v>
      </c>
      <c r="N31" s="25">
        <f t="shared" si="11"/>
        <v>373342.5963</v>
      </c>
      <c r="O31" s="25">
        <f t="shared" si="12"/>
        <v>31042.82453</v>
      </c>
      <c r="P31" s="25">
        <f t="shared" si="13"/>
        <v>368957.1755</v>
      </c>
      <c r="Q31" s="16">
        <f t="shared" si="6"/>
        <v>927580.4527</v>
      </c>
    </row>
    <row r="32">
      <c r="B32" s="27">
        <v>17.0</v>
      </c>
      <c r="C32" s="27">
        <v>2017.0</v>
      </c>
      <c r="D32" s="24">
        <v>164.318</v>
      </c>
      <c r="E32" s="28">
        <f t="shared" si="7"/>
        <v>0.3589883552</v>
      </c>
      <c r="F32" s="25">
        <f t="shared" si="14"/>
        <v>400000</v>
      </c>
      <c r="G32" s="25">
        <f t="shared" si="15"/>
        <v>1016140.674</v>
      </c>
      <c r="H32" s="26">
        <f t="shared" si="8"/>
        <v>2434.304215</v>
      </c>
      <c r="I32" s="26">
        <f t="shared" si="9"/>
        <v>6183.988814</v>
      </c>
      <c r="J32" s="26">
        <f t="shared" ref="J32:K32" si="30">MAX(J31-H32,0)</f>
        <v>977391.8612</v>
      </c>
      <c r="K32" s="26">
        <f t="shared" si="30"/>
        <v>905598.1887</v>
      </c>
      <c r="L32" s="25">
        <f t="shared" si="4"/>
        <v>160603075.8</v>
      </c>
      <c r="M32" s="25">
        <f t="shared" si="5"/>
        <v>148806083.2</v>
      </c>
      <c r="N32" s="25">
        <f t="shared" si="11"/>
        <v>380384.3766</v>
      </c>
      <c r="O32" s="25">
        <f t="shared" si="12"/>
        <v>31923.04708</v>
      </c>
      <c r="P32" s="25">
        <f t="shared" si="13"/>
        <v>368076.9529</v>
      </c>
      <c r="Q32" s="16">
        <f t="shared" si="6"/>
        <v>984217.6268</v>
      </c>
    </row>
    <row r="33">
      <c r="B33" s="27">
        <v>18.0</v>
      </c>
      <c r="C33" s="27">
        <v>2018.0</v>
      </c>
      <c r="D33" s="24">
        <v>186.189</v>
      </c>
      <c r="E33" s="28">
        <f t="shared" si="7"/>
        <v>0.1331016687</v>
      </c>
      <c r="F33" s="25">
        <f t="shared" si="14"/>
        <v>400000</v>
      </c>
      <c r="G33" s="25">
        <f t="shared" si="15"/>
        <v>1077109.114</v>
      </c>
      <c r="H33" s="26">
        <f t="shared" si="8"/>
        <v>2148.354629</v>
      </c>
      <c r="I33" s="26">
        <f t="shared" si="9"/>
        <v>5785.030879</v>
      </c>
      <c r="J33" s="26">
        <f t="shared" ref="J33:K33" si="31">MAX(J32-H33,0)</f>
        <v>975243.5066</v>
      </c>
      <c r="K33" s="26">
        <f t="shared" si="31"/>
        <v>899813.1578</v>
      </c>
      <c r="L33" s="25">
        <f t="shared" si="4"/>
        <v>181579613.2</v>
      </c>
      <c r="M33" s="25">
        <f t="shared" si="5"/>
        <v>167535312</v>
      </c>
      <c r="N33" s="25">
        <f t="shared" si="11"/>
        <v>382688.5584</v>
      </c>
      <c r="O33" s="25">
        <f t="shared" si="12"/>
        <v>32211.0698</v>
      </c>
      <c r="P33" s="25">
        <f t="shared" si="13"/>
        <v>367788.9302</v>
      </c>
      <c r="Q33" s="16">
        <f t="shared" si="6"/>
        <v>1044898.045</v>
      </c>
    </row>
    <row r="34">
      <c r="B34" s="27">
        <v>19.0</v>
      </c>
      <c r="C34" s="27">
        <v>2019.0</v>
      </c>
      <c r="D34" s="24">
        <v>196.3</v>
      </c>
      <c r="E34" s="28">
        <f t="shared" si="7"/>
        <v>0.05430503413</v>
      </c>
      <c r="F34" s="25">
        <f t="shared" si="14"/>
        <v>400000</v>
      </c>
      <c r="G34" s="25">
        <f t="shared" si="15"/>
        <v>1141735.661</v>
      </c>
      <c r="H34" s="26">
        <f t="shared" si="8"/>
        <v>2037.697402</v>
      </c>
      <c r="I34" s="26">
        <f t="shared" si="9"/>
        <v>5816.279476</v>
      </c>
      <c r="J34" s="26">
        <f t="shared" ref="J34:K34" si="32">MAX(J33-H34,0)</f>
        <v>973205.8092</v>
      </c>
      <c r="K34" s="26">
        <f t="shared" si="32"/>
        <v>893996.8783</v>
      </c>
      <c r="L34" s="25">
        <f t="shared" si="4"/>
        <v>191040300.3</v>
      </c>
      <c r="M34" s="25">
        <f t="shared" si="5"/>
        <v>175491587.2</v>
      </c>
      <c r="N34" s="25">
        <f t="shared" si="11"/>
        <v>383580.2343</v>
      </c>
      <c r="O34" s="25">
        <f t="shared" si="12"/>
        <v>32322.52929</v>
      </c>
      <c r="P34" s="25">
        <f t="shared" si="13"/>
        <v>367677.4707</v>
      </c>
      <c r="Q34" s="16">
        <f t="shared" si="6"/>
        <v>1109413.132</v>
      </c>
    </row>
    <row r="35">
      <c r="B35" s="27">
        <v>20.0</v>
      </c>
      <c r="C35" s="27">
        <v>2020.0</v>
      </c>
      <c r="D35" s="24">
        <v>196.88</v>
      </c>
      <c r="E35" s="28">
        <f t="shared" si="7"/>
        <v>0.002954661233</v>
      </c>
      <c r="F35" s="25">
        <f t="shared" si="14"/>
        <v>400000</v>
      </c>
      <c r="G35" s="25">
        <f t="shared" si="15"/>
        <v>1210239.801</v>
      </c>
      <c r="H35" s="26">
        <f t="shared" si="8"/>
        <v>2031.694433</v>
      </c>
      <c r="I35" s="26">
        <f t="shared" si="9"/>
        <v>6147.093665</v>
      </c>
      <c r="J35" s="26">
        <f t="shared" ref="J35:K35" si="33">MAX(J34-H35,0)</f>
        <v>971174.1147</v>
      </c>
      <c r="K35" s="26">
        <f t="shared" si="33"/>
        <v>887849.7846</v>
      </c>
      <c r="L35" s="25">
        <f t="shared" si="4"/>
        <v>191204759.7</v>
      </c>
      <c r="M35" s="25">
        <f t="shared" si="5"/>
        <v>174799865.6</v>
      </c>
      <c r="N35" s="25">
        <f t="shared" si="11"/>
        <v>383628.6063</v>
      </c>
      <c r="O35" s="25">
        <f t="shared" si="12"/>
        <v>32328.57578</v>
      </c>
      <c r="P35" s="25">
        <f t="shared" si="13"/>
        <v>367671.4242</v>
      </c>
      <c r="Q35" s="16">
        <f t="shared" si="6"/>
        <v>1177911.225</v>
      </c>
    </row>
    <row r="36">
      <c r="B36" s="27">
        <v>21.0</v>
      </c>
      <c r="C36" s="27">
        <v>2021.0</v>
      </c>
      <c r="D36" s="24">
        <v>258.9</v>
      </c>
      <c r="E36" s="28">
        <f t="shared" si="7"/>
        <v>0.3150142219</v>
      </c>
      <c r="F36" s="25">
        <f t="shared" si="14"/>
        <v>400000</v>
      </c>
      <c r="G36" s="25">
        <f t="shared" si="15"/>
        <v>1282854.189</v>
      </c>
      <c r="H36" s="26">
        <f t="shared" si="8"/>
        <v>1544.998069</v>
      </c>
      <c r="I36" s="26">
        <f t="shared" si="9"/>
        <v>4955.018111</v>
      </c>
      <c r="J36" s="26">
        <f t="shared" ref="J36:K36" si="34">MAX(J35-H36,0)</f>
        <v>969629.1167</v>
      </c>
      <c r="K36" s="26">
        <f t="shared" si="34"/>
        <v>882894.7665</v>
      </c>
      <c r="L36" s="25">
        <f t="shared" si="4"/>
        <v>251036978.3</v>
      </c>
      <c r="M36" s="25">
        <f t="shared" si="5"/>
        <v>228581455.1</v>
      </c>
      <c r="N36" s="25">
        <f t="shared" si="11"/>
        <v>387550.4056</v>
      </c>
      <c r="O36" s="25">
        <f t="shared" si="12"/>
        <v>32818.8007</v>
      </c>
      <c r="P36" s="25">
        <f t="shared" si="13"/>
        <v>367181.1993</v>
      </c>
      <c r="Q36" s="16">
        <f t="shared" si="6"/>
        <v>1250035.388</v>
      </c>
    </row>
    <row r="37">
      <c r="B37" s="27">
        <v>22.0</v>
      </c>
      <c r="C37" s="27">
        <v>2022.0</v>
      </c>
      <c r="D37" s="24">
        <v>293.48</v>
      </c>
      <c r="E37" s="28">
        <f t="shared" si="7"/>
        <v>0.133565083</v>
      </c>
      <c r="F37" s="25">
        <f t="shared" si="14"/>
        <v>400000</v>
      </c>
      <c r="G37" s="25">
        <f t="shared" si="15"/>
        <v>1359825.44</v>
      </c>
      <c r="H37" s="26">
        <f t="shared" si="8"/>
        <v>1362.954886</v>
      </c>
      <c r="I37" s="26">
        <f t="shared" si="9"/>
        <v>4633.45182</v>
      </c>
      <c r="J37" s="26">
        <f t="shared" ref="J37:K37" si="35">MAX(J36-H37,0)</f>
        <v>968266.1618</v>
      </c>
      <c r="K37" s="26">
        <f t="shared" si="35"/>
        <v>878261.3147</v>
      </c>
      <c r="L37" s="25">
        <f t="shared" si="4"/>
        <v>284166753.2</v>
      </c>
      <c r="M37" s="25">
        <f t="shared" si="5"/>
        <v>257752130.6</v>
      </c>
      <c r="N37" s="25">
        <f t="shared" si="11"/>
        <v>389017.3095</v>
      </c>
      <c r="O37" s="25">
        <f t="shared" si="12"/>
        <v>33002.16369</v>
      </c>
      <c r="P37" s="25">
        <f t="shared" si="13"/>
        <v>366997.8363</v>
      </c>
      <c r="Q37" s="16">
        <f t="shared" si="6"/>
        <v>1326823.277</v>
      </c>
    </row>
    <row r="38">
      <c r="B38" s="27">
        <v>23.0</v>
      </c>
      <c r="C38" s="27">
        <v>2023.0</v>
      </c>
      <c r="D38" s="24">
        <v>349.05</v>
      </c>
      <c r="E38" s="28">
        <f t="shared" si="7"/>
        <v>0.1893485076</v>
      </c>
      <c r="F38" s="25">
        <f t="shared" si="14"/>
        <v>400000</v>
      </c>
      <c r="G38" s="25">
        <f t="shared" si="15"/>
        <v>1441414.967</v>
      </c>
      <c r="H38" s="26">
        <f t="shared" si="8"/>
        <v>1145.967626</v>
      </c>
      <c r="I38" s="26">
        <f t="shared" si="9"/>
        <v>4129.53722</v>
      </c>
      <c r="J38" s="26">
        <f t="shared" ref="J38:K38" si="36">MAX(J37-H38,0)</f>
        <v>967120.1941</v>
      </c>
      <c r="K38" s="26">
        <f t="shared" si="36"/>
        <v>874131.7775</v>
      </c>
      <c r="L38" s="25">
        <f t="shared" si="4"/>
        <v>337573303.8</v>
      </c>
      <c r="M38" s="25">
        <f t="shared" si="5"/>
        <v>305115696.9</v>
      </c>
      <c r="N38" s="25">
        <f t="shared" si="11"/>
        <v>390765.7929</v>
      </c>
      <c r="O38" s="25">
        <f t="shared" si="12"/>
        <v>33220.72411</v>
      </c>
      <c r="P38" s="25">
        <f t="shared" si="13"/>
        <v>366779.2759</v>
      </c>
      <c r="Q38" s="16">
        <f t="shared" si="6"/>
        <v>1408194.243</v>
      </c>
    </row>
    <row r="39">
      <c r="B39" s="27">
        <v>24.0</v>
      </c>
      <c r="C39" s="27">
        <v>2024.0</v>
      </c>
      <c r="D39" s="24">
        <v>489.43</v>
      </c>
      <c r="E39" s="28">
        <f t="shared" si="7"/>
        <v>0.4021773385</v>
      </c>
      <c r="F39" s="25">
        <f t="shared" si="14"/>
        <v>400000</v>
      </c>
      <c r="G39" s="25">
        <f t="shared" si="15"/>
        <v>1527899.865</v>
      </c>
      <c r="H39" s="26">
        <f t="shared" si="8"/>
        <v>817.2772409</v>
      </c>
      <c r="I39" s="26">
        <f t="shared" si="9"/>
        <v>3121.794464</v>
      </c>
      <c r="J39" s="26">
        <f t="shared" ref="J39:K39" si="37">MAX(J38-H39,0)</f>
        <v>966302.9169</v>
      </c>
      <c r="K39" s="26">
        <f t="shared" si="37"/>
        <v>871009.983</v>
      </c>
      <c r="L39" s="25">
        <f t="shared" si="4"/>
        <v>472937636.6</v>
      </c>
      <c r="M39" s="25">
        <f t="shared" si="5"/>
        <v>426298416</v>
      </c>
      <c r="N39" s="25">
        <f t="shared" si="11"/>
        <v>393414.38</v>
      </c>
      <c r="O39" s="25">
        <f t="shared" si="12"/>
        <v>33551.7975</v>
      </c>
      <c r="P39" s="25">
        <f t="shared" si="13"/>
        <v>366448.2025</v>
      </c>
      <c r="Q39" s="16">
        <f t="shared" si="6"/>
        <v>1494348.067</v>
      </c>
    </row>
    <row r="40">
      <c r="B40" s="27">
        <v>25.0</v>
      </c>
      <c r="C40" s="27">
        <v>2025.0</v>
      </c>
      <c r="D40" s="24">
        <v>513.86</v>
      </c>
      <c r="E40" s="28">
        <f t="shared" si="7"/>
        <v>0.04991520749</v>
      </c>
      <c r="F40" s="25">
        <f t="shared" si="14"/>
        <v>400000</v>
      </c>
      <c r="G40" s="25">
        <f t="shared" si="15"/>
        <v>1619573.857</v>
      </c>
      <c r="H40" s="26">
        <f t="shared" si="8"/>
        <v>778.4221383</v>
      </c>
      <c r="I40" s="26">
        <f t="shared" si="9"/>
        <v>3151.780361</v>
      </c>
      <c r="J40" s="26">
        <f t="shared" ref="J40:K40" si="38">MAX(J39-H40,0)</f>
        <v>965524.4948</v>
      </c>
      <c r="K40" s="26">
        <f t="shared" si="38"/>
        <v>867858.2027</v>
      </c>
      <c r="L40" s="25">
        <f t="shared" si="4"/>
        <v>496144416.9</v>
      </c>
      <c r="M40" s="25">
        <f t="shared" si="5"/>
        <v>445957616</v>
      </c>
      <c r="N40" s="25">
        <f t="shared" si="11"/>
        <v>393727.4744</v>
      </c>
      <c r="O40" s="25">
        <f t="shared" si="12"/>
        <v>33590.9343</v>
      </c>
      <c r="P40" s="25">
        <f t="shared" si="13"/>
        <v>366409.0657</v>
      </c>
      <c r="Q40" s="16">
        <f t="shared" si="6"/>
        <v>1585982.922</v>
      </c>
    </row>
    <row r="41">
      <c r="B41" s="27">
        <v>26.0</v>
      </c>
      <c r="C41" s="27">
        <v>2026.0</v>
      </c>
      <c r="D41" s="24">
        <v>564.64</v>
      </c>
      <c r="E41" s="28">
        <f t="shared" si="7"/>
        <v>0.09882069046</v>
      </c>
      <c r="F41" s="25">
        <f t="shared" si="14"/>
        <v>400000</v>
      </c>
      <c r="G41" s="25">
        <f t="shared" si="15"/>
        <v>1716748.288</v>
      </c>
      <c r="H41" s="26">
        <f t="shared" si="8"/>
        <v>708.4159819</v>
      </c>
      <c r="I41" s="26">
        <f t="shared" si="9"/>
        <v>3040.42981</v>
      </c>
      <c r="J41" s="26">
        <f t="shared" ref="J41:K41" si="39">MAX(J40-H41,0)</f>
        <v>964816.0788</v>
      </c>
      <c r="K41" s="26">
        <f t="shared" si="39"/>
        <v>864817.7728</v>
      </c>
      <c r="L41" s="25">
        <f t="shared" si="4"/>
        <v>544773750.7</v>
      </c>
      <c r="M41" s="25">
        <f t="shared" si="5"/>
        <v>488310707.3</v>
      </c>
      <c r="N41" s="25">
        <f t="shared" si="11"/>
        <v>394291.584</v>
      </c>
      <c r="O41" s="25">
        <f t="shared" si="12"/>
        <v>33661.448</v>
      </c>
      <c r="P41" s="25">
        <f t="shared" si="13"/>
        <v>366338.552</v>
      </c>
      <c r="Q41" s="16">
        <f t="shared" si="6"/>
        <v>1683086.84</v>
      </c>
    </row>
    <row r="42">
      <c r="E42" s="28"/>
      <c r="F42" s="16"/>
      <c r="G42" s="16"/>
      <c r="H42" s="13"/>
      <c r="I42" s="13"/>
      <c r="J42" s="13"/>
      <c r="K42" s="13"/>
      <c r="L42" s="16"/>
      <c r="M42" s="16"/>
      <c r="N42" s="16"/>
      <c r="O42" s="16"/>
      <c r="P42" s="16"/>
      <c r="Q42" s="16"/>
    </row>
    <row r="43">
      <c r="A43" s="29"/>
      <c r="B43" s="30" t="s">
        <v>34</v>
      </c>
      <c r="C43" s="29"/>
      <c r="D43" s="29"/>
      <c r="E43" s="29"/>
      <c r="F43" s="31">
        <f t="shared" ref="F43:G43" si="40">SUM(F16:F41)</f>
        <v>10400000</v>
      </c>
      <c r="G43" s="31">
        <f t="shared" si="40"/>
        <v>23662553.09</v>
      </c>
      <c r="H43" s="32"/>
      <c r="I43" s="32"/>
      <c r="J43" s="32"/>
      <c r="K43" s="32"/>
      <c r="L43" s="33"/>
      <c r="M43" s="33"/>
      <c r="N43" s="33"/>
      <c r="O43" s="31">
        <f t="shared" ref="O43:P43" si="41">SUM(O16:O41)</f>
        <v>659310.0238</v>
      </c>
      <c r="P43" s="31">
        <f t="shared" si="41"/>
        <v>9740689.976</v>
      </c>
      <c r="Q43" s="33"/>
      <c r="R43" s="29"/>
      <c r="S43" s="29"/>
      <c r="T43" s="29"/>
      <c r="U43" s="29"/>
      <c r="V43" s="29"/>
      <c r="W43" s="29"/>
      <c r="X43" s="29"/>
      <c r="Y43" s="29"/>
      <c r="Z43" s="29"/>
    </row>
    <row r="44">
      <c r="F44" s="16"/>
      <c r="G44" s="16"/>
      <c r="H44" s="13"/>
      <c r="I44" s="13"/>
      <c r="J44" s="13"/>
      <c r="K44" s="13"/>
      <c r="L44" s="16"/>
      <c r="M44" s="16"/>
      <c r="N44" s="16"/>
      <c r="O44" s="16"/>
      <c r="P44" s="16"/>
      <c r="Q44" s="16"/>
    </row>
    <row r="45">
      <c r="B45" s="34"/>
      <c r="F45" s="16"/>
      <c r="G45" s="16"/>
      <c r="H45" s="13"/>
      <c r="I45" s="13"/>
      <c r="J45" s="13"/>
      <c r="K45" s="13"/>
      <c r="L45" s="16"/>
      <c r="M45" s="16"/>
      <c r="N45" s="16"/>
      <c r="O45" s="16"/>
      <c r="P45" s="16"/>
      <c r="Q45" s="16">
        <f>SUM(Q15:Q41)</f>
        <v>23003243.06</v>
      </c>
    </row>
    <row r="46">
      <c r="B46" s="35" t="s">
        <v>35</v>
      </c>
      <c r="P46" s="16">
        <f>Q45-O43</f>
        <v>22343933.04</v>
      </c>
    </row>
    <row r="47">
      <c r="B47" s="36" t="s">
        <v>36</v>
      </c>
    </row>
    <row r="48">
      <c r="B48" s="37" t="s">
        <v>37</v>
      </c>
    </row>
    <row r="49">
      <c r="B49" s="37" t="s">
        <v>38</v>
      </c>
    </row>
    <row r="50">
      <c r="B50" s="37" t="s">
        <v>39</v>
      </c>
    </row>
    <row r="51">
      <c r="B51" s="38" t="s">
        <v>40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mergeCells count="3">
    <mergeCell ref="B1:P1"/>
    <mergeCell ref="B2:P2"/>
    <mergeCell ref="B3:C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2.13"/>
    <col customWidth="1" min="3" max="3" width="21.63"/>
    <col customWidth="1" min="4" max="4" width="16.38"/>
    <col customWidth="1" min="5" max="5" width="18.25"/>
    <col customWidth="1" min="6" max="6" width="20.25"/>
    <col customWidth="1" min="7" max="7" width="27.5"/>
    <col customWidth="1" min="8" max="8" width="13.13"/>
    <col customWidth="1" min="9" max="9" width="16.88"/>
    <col customWidth="1" min="10" max="10" width="11.38"/>
    <col customWidth="1" min="11" max="11" width="22.5"/>
    <col customWidth="1" min="12" max="12" width="13.13"/>
    <col customWidth="1" min="13" max="14" width="11.38"/>
    <col customWidth="1" min="15" max="15" width="13.13"/>
    <col customWidth="1" min="16" max="16" width="11.38"/>
    <col customWidth="1" min="17" max="17" width="10.5"/>
    <col customWidth="1" min="18" max="18" width="11.38"/>
    <col customWidth="1" min="19" max="19" width="34.13"/>
    <col customWidth="1" min="20" max="26" width="7.63"/>
  </cols>
  <sheetData>
    <row r="2">
      <c r="B2" s="39" t="s">
        <v>41</v>
      </c>
    </row>
    <row r="3">
      <c r="B3" s="6" t="s">
        <v>2</v>
      </c>
      <c r="C3" s="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>
      <c r="B5" s="8" t="s">
        <v>3</v>
      </c>
      <c r="C5" s="9"/>
      <c r="F5" s="8" t="s">
        <v>4</v>
      </c>
      <c r="G5" s="9"/>
    </row>
    <row r="6">
      <c r="B6" s="10" t="s">
        <v>5</v>
      </c>
      <c r="C6" s="40">
        <v>1.0E7</v>
      </c>
      <c r="F6" s="10" t="s">
        <v>42</v>
      </c>
      <c r="G6" s="41">
        <f>SUM(I20:I45)</f>
        <v>10400000</v>
      </c>
    </row>
    <row r="7">
      <c r="B7" s="10" t="s">
        <v>7</v>
      </c>
      <c r="C7" s="14">
        <v>0.04</v>
      </c>
      <c r="F7" s="10" t="s">
        <v>43</v>
      </c>
      <c r="G7" s="41">
        <f>SUM(M20:M45)</f>
        <v>23662553.09</v>
      </c>
    </row>
    <row r="8">
      <c r="B8" s="42" t="s">
        <v>44</v>
      </c>
      <c r="C8" s="17">
        <v>0.06</v>
      </c>
      <c r="F8" s="10" t="s">
        <v>12</v>
      </c>
      <c r="G8" s="41">
        <f>K45</f>
        <v>67892708.54</v>
      </c>
    </row>
    <row r="9">
      <c r="B9" s="10" t="s">
        <v>45</v>
      </c>
      <c r="C9" s="14">
        <v>0.4</v>
      </c>
      <c r="E9" s="7"/>
      <c r="F9" s="10" t="s">
        <v>46</v>
      </c>
      <c r="G9" s="41">
        <f>O45</f>
        <v>38878129.71</v>
      </c>
    </row>
    <row r="10">
      <c r="B10" s="10" t="s">
        <v>47</v>
      </c>
      <c r="C10" s="14">
        <v>0.6</v>
      </c>
      <c r="F10" s="10" t="s">
        <v>16</v>
      </c>
      <c r="G10" s="41">
        <f>SUM(Q20:Q45)</f>
        <v>589098.18</v>
      </c>
    </row>
    <row r="11">
      <c r="B11" s="10" t="s">
        <v>48</v>
      </c>
      <c r="C11" s="17">
        <v>0.07</v>
      </c>
      <c r="F11" s="10" t="s">
        <v>49</v>
      </c>
      <c r="G11" s="41">
        <f>G6-G10</f>
        <v>9810901.82</v>
      </c>
    </row>
    <row r="12">
      <c r="B12" s="10" t="s">
        <v>50</v>
      </c>
      <c r="C12" s="17">
        <v>0.005</v>
      </c>
      <c r="E12" s="7"/>
    </row>
    <row r="13">
      <c r="B13" s="10" t="s">
        <v>11</v>
      </c>
      <c r="C13" s="17">
        <v>0.125</v>
      </c>
    </row>
    <row r="14">
      <c r="B14" s="10" t="s">
        <v>51</v>
      </c>
      <c r="C14" s="17">
        <v>0.3</v>
      </c>
    </row>
    <row r="15">
      <c r="B15" s="10" t="s">
        <v>13</v>
      </c>
      <c r="C15" s="43">
        <v>125000.0</v>
      </c>
    </row>
    <row r="16">
      <c r="B16" s="1"/>
      <c r="C16" s="1"/>
    </row>
    <row r="18">
      <c r="B18" s="21" t="s">
        <v>18</v>
      </c>
      <c r="C18" s="21" t="s">
        <v>19</v>
      </c>
      <c r="D18" s="21" t="s">
        <v>52</v>
      </c>
      <c r="E18" s="21" t="s">
        <v>53</v>
      </c>
      <c r="F18" s="21" t="s">
        <v>54</v>
      </c>
      <c r="G18" s="21" t="s">
        <v>55</v>
      </c>
      <c r="H18" s="21" t="s">
        <v>56</v>
      </c>
      <c r="I18" s="21" t="s">
        <v>57</v>
      </c>
      <c r="J18" s="21" t="s">
        <v>58</v>
      </c>
      <c r="K18" s="21" t="s">
        <v>59</v>
      </c>
      <c r="L18" s="21" t="s">
        <v>60</v>
      </c>
      <c r="M18" s="21" t="s">
        <v>61</v>
      </c>
      <c r="N18" s="21" t="s">
        <v>62</v>
      </c>
      <c r="O18" s="21" t="s">
        <v>63</v>
      </c>
      <c r="P18" s="21" t="s">
        <v>64</v>
      </c>
      <c r="Q18" s="21" t="s">
        <v>65</v>
      </c>
      <c r="R18" s="21" t="s">
        <v>66</v>
      </c>
      <c r="S18" s="44" t="s">
        <v>67</v>
      </c>
    </row>
    <row r="19">
      <c r="B19" s="23">
        <v>0.0</v>
      </c>
      <c r="C19" s="23">
        <v>2000.0</v>
      </c>
      <c r="D19" s="45">
        <v>1816.87</v>
      </c>
      <c r="E19" s="23" t="s">
        <v>33</v>
      </c>
      <c r="F19" s="23" t="s">
        <v>33</v>
      </c>
      <c r="G19" s="23" t="s">
        <v>33</v>
      </c>
      <c r="H19" s="45">
        <f>$C$6</f>
        <v>10000000</v>
      </c>
      <c r="I19" s="45">
        <v>0.0</v>
      </c>
      <c r="J19" s="45">
        <v>0.0</v>
      </c>
      <c r="K19" s="45">
        <f t="shared" ref="K19:L19" si="1">$C$6</f>
        <v>10000000</v>
      </c>
      <c r="L19" s="45">
        <f t="shared" si="1"/>
        <v>10000000</v>
      </c>
      <c r="M19" s="45">
        <v>0.0</v>
      </c>
      <c r="N19" s="45">
        <v>0.0</v>
      </c>
      <c r="O19" s="45">
        <f>$C$6</f>
        <v>10000000</v>
      </c>
      <c r="P19" s="45">
        <v>0.0</v>
      </c>
      <c r="Q19" s="45">
        <v>0.0</v>
      </c>
      <c r="R19" s="45">
        <v>0.0</v>
      </c>
      <c r="S19" s="44" t="s">
        <v>68</v>
      </c>
    </row>
    <row r="20" ht="16.5" customHeight="1">
      <c r="B20" s="27">
        <v>1.0</v>
      </c>
      <c r="C20" s="27">
        <v>2001.0</v>
      </c>
      <c r="D20" s="45">
        <v>1455.38</v>
      </c>
      <c r="E20" s="28">
        <f t="shared" ref="E20:E45" si="2">(D20/D19)-1-$C$12</f>
        <v>-0.2039630518</v>
      </c>
      <c r="F20" s="28">
        <f t="shared" ref="F20:F45" si="3">$C$11</f>
        <v>0.07</v>
      </c>
      <c r="G20" s="28">
        <f t="shared" ref="G20:G45" si="4">$C$9*E20+$C$10*F20</f>
        <v>-0.03958522074</v>
      </c>
      <c r="H20" s="45">
        <f t="shared" ref="H20:H45" si="5">K19</f>
        <v>10000000</v>
      </c>
      <c r="I20" s="45">
        <f t="shared" ref="I20:I45" si="6">$C$6*$C$7</f>
        <v>400000</v>
      </c>
      <c r="J20" s="45">
        <f t="shared" ref="J20:J45" si="7">H20*G20</f>
        <v>-395852.2074</v>
      </c>
      <c r="K20" s="45">
        <f t="shared" ref="K20:K45" si="8">MAX(H20+J20-I20,0)</f>
        <v>9204147.793</v>
      </c>
      <c r="L20" s="45">
        <f t="shared" ref="L20:L45" si="9">O19</f>
        <v>10000000</v>
      </c>
      <c r="M20" s="45">
        <f>$C$6*$C$7</f>
        <v>400000</v>
      </c>
      <c r="N20" s="45">
        <f t="shared" ref="N20:N45" si="10">L20*G20</f>
        <v>-395852.2074</v>
      </c>
      <c r="O20" s="45">
        <f t="shared" ref="O20:O45" si="11">MAX(L20+N20-M20,0)</f>
        <v>9204147.793</v>
      </c>
      <c r="P20" s="45">
        <f t="shared" ref="P20:P45" si="12">MAX(I20*$C$9*(1-$D$19/D20),0)+I20*$C$10*0.3</f>
        <v>72000</v>
      </c>
      <c r="Q20" s="45">
        <f t="shared" ref="Q20:Q45" si="13">MAX((I20*$C$9*MAX(1-$D$19/D20,0)-$C$15)*$C$13,0)+I20*$C$10*0.3*$C$14</f>
        <v>21600</v>
      </c>
      <c r="R20" s="45">
        <f t="shared" ref="R20:R45" si="14">I20-Q20</f>
        <v>378400</v>
      </c>
      <c r="T20" s="46"/>
    </row>
    <row r="21">
      <c r="B21" s="27">
        <v>2.0</v>
      </c>
      <c r="C21" s="27">
        <v>2002.0</v>
      </c>
      <c r="D21" s="45">
        <v>1281.66</v>
      </c>
      <c r="E21" s="28">
        <f t="shared" si="2"/>
        <v>-0.1243640149</v>
      </c>
      <c r="F21" s="28">
        <f t="shared" si="3"/>
        <v>0.07</v>
      </c>
      <c r="G21" s="28">
        <f t="shared" si="4"/>
        <v>-0.007745605959</v>
      </c>
      <c r="H21" s="45">
        <f t="shared" si="5"/>
        <v>9204147.793</v>
      </c>
      <c r="I21" s="45">
        <f t="shared" si="6"/>
        <v>400000</v>
      </c>
      <c r="J21" s="45">
        <f t="shared" si="7"/>
        <v>-71291.70199</v>
      </c>
      <c r="K21" s="45">
        <f t="shared" si="8"/>
        <v>8732856.091</v>
      </c>
      <c r="L21" s="45">
        <f t="shared" si="9"/>
        <v>9204147.793</v>
      </c>
      <c r="M21" s="45">
        <f t="shared" ref="M21:M45" si="15">M20*(1+$C$8)</f>
        <v>424000</v>
      </c>
      <c r="N21" s="45">
        <f t="shared" si="10"/>
        <v>-71291.70199</v>
      </c>
      <c r="O21" s="45">
        <f t="shared" si="11"/>
        <v>8708856.091</v>
      </c>
      <c r="P21" s="45">
        <f t="shared" si="12"/>
        <v>72000</v>
      </c>
      <c r="Q21" s="45">
        <f t="shared" si="13"/>
        <v>21600</v>
      </c>
      <c r="R21" s="45">
        <f t="shared" si="14"/>
        <v>378400</v>
      </c>
    </row>
    <row r="22">
      <c r="B22" s="27">
        <v>3.0</v>
      </c>
      <c r="C22" s="27">
        <v>2003.0</v>
      </c>
      <c r="D22" s="45">
        <v>1173.69</v>
      </c>
      <c r="E22" s="28">
        <f t="shared" si="2"/>
        <v>-0.08924231075</v>
      </c>
      <c r="F22" s="28">
        <f t="shared" si="3"/>
        <v>0.07</v>
      </c>
      <c r="G22" s="28">
        <f t="shared" si="4"/>
        <v>0.006303075699</v>
      </c>
      <c r="H22" s="45">
        <f t="shared" si="5"/>
        <v>8732856.091</v>
      </c>
      <c r="I22" s="45">
        <f t="shared" si="6"/>
        <v>400000</v>
      </c>
      <c r="J22" s="45">
        <f t="shared" si="7"/>
        <v>55043.85301</v>
      </c>
      <c r="K22" s="45">
        <f t="shared" si="8"/>
        <v>8387899.944</v>
      </c>
      <c r="L22" s="45">
        <f t="shared" si="9"/>
        <v>8708856.091</v>
      </c>
      <c r="M22" s="45">
        <f t="shared" si="15"/>
        <v>449440</v>
      </c>
      <c r="N22" s="45">
        <f t="shared" si="10"/>
        <v>54892.57919</v>
      </c>
      <c r="O22" s="45">
        <f t="shared" si="11"/>
        <v>8314308.67</v>
      </c>
      <c r="P22" s="45">
        <f t="shared" si="12"/>
        <v>72000</v>
      </c>
      <c r="Q22" s="45">
        <f t="shared" si="13"/>
        <v>21600</v>
      </c>
      <c r="R22" s="45">
        <f t="shared" si="14"/>
        <v>378400</v>
      </c>
    </row>
    <row r="23">
      <c r="B23" s="27">
        <v>4.0</v>
      </c>
      <c r="C23" s="27">
        <v>2004.0</v>
      </c>
      <c r="D23" s="45">
        <v>2112.12</v>
      </c>
      <c r="E23" s="28">
        <f t="shared" si="2"/>
        <v>0.7945552488</v>
      </c>
      <c r="F23" s="28">
        <f t="shared" si="3"/>
        <v>0.07</v>
      </c>
      <c r="G23" s="28">
        <f t="shared" si="4"/>
        <v>0.3598220995</v>
      </c>
      <c r="H23" s="45">
        <f t="shared" si="5"/>
        <v>8387899.944</v>
      </c>
      <c r="I23" s="45">
        <f t="shared" si="6"/>
        <v>400000</v>
      </c>
      <c r="J23" s="45">
        <f t="shared" si="7"/>
        <v>3018151.768</v>
      </c>
      <c r="K23" s="45">
        <f t="shared" si="8"/>
        <v>11006051.71</v>
      </c>
      <c r="L23" s="45">
        <f t="shared" si="9"/>
        <v>8314308.67</v>
      </c>
      <c r="M23" s="45">
        <f t="shared" si="15"/>
        <v>476406.4</v>
      </c>
      <c r="N23" s="45">
        <f t="shared" si="10"/>
        <v>2991672.002</v>
      </c>
      <c r="O23" s="45">
        <f t="shared" si="11"/>
        <v>10829574.27</v>
      </c>
      <c r="P23" s="45">
        <f t="shared" si="12"/>
        <v>94366.15344</v>
      </c>
      <c r="Q23" s="45">
        <f t="shared" si="13"/>
        <v>21600</v>
      </c>
      <c r="R23" s="45">
        <f t="shared" si="14"/>
        <v>378400</v>
      </c>
    </row>
    <row r="24">
      <c r="B24" s="27">
        <v>5.0</v>
      </c>
      <c r="C24" s="27">
        <v>2005.0</v>
      </c>
      <c r="D24" s="45">
        <v>2426.0</v>
      </c>
      <c r="E24" s="28">
        <f t="shared" si="2"/>
        <v>0.1436089806</v>
      </c>
      <c r="F24" s="28">
        <f t="shared" si="3"/>
        <v>0.07</v>
      </c>
      <c r="G24" s="28">
        <f t="shared" si="4"/>
        <v>0.09944359222</v>
      </c>
      <c r="H24" s="45">
        <f t="shared" si="5"/>
        <v>11006051.71</v>
      </c>
      <c r="I24" s="45">
        <f t="shared" si="6"/>
        <v>400000</v>
      </c>
      <c r="J24" s="45">
        <f t="shared" si="7"/>
        <v>1094481.318</v>
      </c>
      <c r="K24" s="45">
        <f t="shared" si="8"/>
        <v>11700533.03</v>
      </c>
      <c r="L24" s="45">
        <f t="shared" si="9"/>
        <v>10829574.27</v>
      </c>
      <c r="M24" s="45">
        <f t="shared" si="15"/>
        <v>504990.784</v>
      </c>
      <c r="N24" s="45">
        <f t="shared" si="10"/>
        <v>1076931.768</v>
      </c>
      <c r="O24" s="45">
        <f t="shared" si="11"/>
        <v>11401515.26</v>
      </c>
      <c r="P24" s="45">
        <f t="shared" si="12"/>
        <v>112173.4542</v>
      </c>
      <c r="Q24" s="45">
        <f t="shared" si="13"/>
        <v>21600</v>
      </c>
      <c r="R24" s="45">
        <f t="shared" si="14"/>
        <v>378400</v>
      </c>
    </row>
    <row r="25">
      <c r="B25" s="27">
        <v>6.0</v>
      </c>
      <c r="C25" s="27">
        <v>2006.0</v>
      </c>
      <c r="D25" s="45">
        <v>3696.72</v>
      </c>
      <c r="E25" s="28">
        <f t="shared" si="2"/>
        <v>0.5187922506</v>
      </c>
      <c r="F25" s="28">
        <f t="shared" si="3"/>
        <v>0.07</v>
      </c>
      <c r="G25" s="28">
        <f t="shared" si="4"/>
        <v>0.2495169002</v>
      </c>
      <c r="H25" s="45">
        <f t="shared" si="5"/>
        <v>11700533.03</v>
      </c>
      <c r="I25" s="45">
        <f t="shared" si="6"/>
        <v>400000</v>
      </c>
      <c r="J25" s="45">
        <f t="shared" si="7"/>
        <v>2919480.733</v>
      </c>
      <c r="K25" s="45">
        <f t="shared" si="8"/>
        <v>14220013.76</v>
      </c>
      <c r="L25" s="45">
        <f t="shared" si="9"/>
        <v>11401515.26</v>
      </c>
      <c r="M25" s="45">
        <f t="shared" si="15"/>
        <v>535290.231</v>
      </c>
      <c r="N25" s="45">
        <f t="shared" si="10"/>
        <v>2844870.745</v>
      </c>
      <c r="O25" s="45">
        <f t="shared" si="11"/>
        <v>13711095.77</v>
      </c>
      <c r="P25" s="45">
        <f t="shared" si="12"/>
        <v>153362.938</v>
      </c>
      <c r="Q25" s="45">
        <f t="shared" si="13"/>
        <v>21600</v>
      </c>
      <c r="R25" s="45">
        <f t="shared" si="14"/>
        <v>378400</v>
      </c>
    </row>
    <row r="26">
      <c r="B26" s="27">
        <v>7.0</v>
      </c>
      <c r="C26" s="27">
        <v>2007.0</v>
      </c>
      <c r="D26" s="45">
        <v>4583.99</v>
      </c>
      <c r="E26" s="28">
        <f t="shared" si="2"/>
        <v>0.2350154732</v>
      </c>
      <c r="F26" s="28">
        <f t="shared" si="3"/>
        <v>0.07</v>
      </c>
      <c r="G26" s="28">
        <f t="shared" si="4"/>
        <v>0.1360061893</v>
      </c>
      <c r="H26" s="45">
        <f t="shared" si="5"/>
        <v>14220013.76</v>
      </c>
      <c r="I26" s="45">
        <f t="shared" si="6"/>
        <v>400000</v>
      </c>
      <c r="J26" s="45">
        <f t="shared" si="7"/>
        <v>1934009.883</v>
      </c>
      <c r="K26" s="45">
        <f t="shared" si="8"/>
        <v>15754023.65</v>
      </c>
      <c r="L26" s="45">
        <f t="shared" si="9"/>
        <v>13711095.77</v>
      </c>
      <c r="M26" s="45">
        <f t="shared" si="15"/>
        <v>567407.6449</v>
      </c>
      <c r="N26" s="45">
        <f t="shared" si="10"/>
        <v>1864793.886</v>
      </c>
      <c r="O26" s="45">
        <f t="shared" si="11"/>
        <v>15008482.01</v>
      </c>
      <c r="P26" s="45">
        <f t="shared" si="12"/>
        <v>168583.8058</v>
      </c>
      <c r="Q26" s="45">
        <f t="shared" si="13"/>
        <v>21600</v>
      </c>
      <c r="R26" s="45">
        <f t="shared" si="14"/>
        <v>378400</v>
      </c>
    </row>
    <row r="27">
      <c r="B27" s="27">
        <v>8.0</v>
      </c>
      <c r="C27" s="27">
        <v>2008.0</v>
      </c>
      <c r="D27" s="45">
        <v>6027.69</v>
      </c>
      <c r="E27" s="28">
        <f t="shared" si="2"/>
        <v>0.309943968</v>
      </c>
      <c r="F27" s="28">
        <f t="shared" si="3"/>
        <v>0.07</v>
      </c>
      <c r="G27" s="28">
        <f t="shared" si="4"/>
        <v>0.1659775872</v>
      </c>
      <c r="H27" s="45">
        <f t="shared" si="5"/>
        <v>15754023.65</v>
      </c>
      <c r="I27" s="45">
        <f t="shared" si="6"/>
        <v>400000</v>
      </c>
      <c r="J27" s="45">
        <f t="shared" si="7"/>
        <v>2614814.834</v>
      </c>
      <c r="K27" s="45">
        <f t="shared" si="8"/>
        <v>17968838.48</v>
      </c>
      <c r="L27" s="45">
        <f t="shared" si="9"/>
        <v>15008482.01</v>
      </c>
      <c r="M27" s="45">
        <f t="shared" si="15"/>
        <v>601452.1036</v>
      </c>
      <c r="N27" s="45">
        <f t="shared" si="10"/>
        <v>2491071.632</v>
      </c>
      <c r="O27" s="45">
        <f t="shared" si="11"/>
        <v>16898101.54</v>
      </c>
      <c r="P27" s="45">
        <f t="shared" si="12"/>
        <v>183772.7023</v>
      </c>
      <c r="Q27" s="45">
        <f t="shared" si="13"/>
        <v>21600</v>
      </c>
      <c r="R27" s="45">
        <f t="shared" si="14"/>
        <v>378400</v>
      </c>
    </row>
    <row r="28">
      <c r="B28" s="27">
        <v>9.0</v>
      </c>
      <c r="C28" s="27">
        <v>2009.0</v>
      </c>
      <c r="D28" s="45">
        <v>3293.68</v>
      </c>
      <c r="E28" s="28">
        <f t="shared" si="2"/>
        <v>-0.4585750843</v>
      </c>
      <c r="F28" s="28">
        <f t="shared" si="3"/>
        <v>0.07</v>
      </c>
      <c r="G28" s="28">
        <f t="shared" si="4"/>
        <v>-0.1414300337</v>
      </c>
      <c r="H28" s="45">
        <f t="shared" si="5"/>
        <v>17968838.48</v>
      </c>
      <c r="I28" s="45">
        <f t="shared" si="6"/>
        <v>400000</v>
      </c>
      <c r="J28" s="45">
        <f t="shared" si="7"/>
        <v>-2541333.432</v>
      </c>
      <c r="K28" s="45">
        <f t="shared" si="8"/>
        <v>15027505.05</v>
      </c>
      <c r="L28" s="45">
        <f t="shared" si="9"/>
        <v>16898101.54</v>
      </c>
      <c r="M28" s="45">
        <f t="shared" si="15"/>
        <v>637539.2298</v>
      </c>
      <c r="N28" s="45">
        <f t="shared" si="10"/>
        <v>-2389899.071</v>
      </c>
      <c r="O28" s="45">
        <f t="shared" si="11"/>
        <v>13870663.24</v>
      </c>
      <c r="P28" s="45">
        <f t="shared" si="12"/>
        <v>143740.3026</v>
      </c>
      <c r="Q28" s="45">
        <f t="shared" si="13"/>
        <v>21600</v>
      </c>
      <c r="R28" s="45">
        <f t="shared" si="14"/>
        <v>378400</v>
      </c>
      <c r="S28" s="44" t="s">
        <v>69</v>
      </c>
    </row>
    <row r="29">
      <c r="B29" s="27">
        <v>10.0</v>
      </c>
      <c r="C29" s="27">
        <v>2010.0</v>
      </c>
      <c r="D29" s="45">
        <v>6231.89</v>
      </c>
      <c r="E29" s="28">
        <f t="shared" si="2"/>
        <v>0.8870751257</v>
      </c>
      <c r="F29" s="28">
        <f t="shared" si="3"/>
        <v>0.07</v>
      </c>
      <c r="G29" s="28">
        <f t="shared" si="4"/>
        <v>0.3968300503</v>
      </c>
      <c r="H29" s="45">
        <f t="shared" si="5"/>
        <v>15027505.05</v>
      </c>
      <c r="I29" s="45">
        <f t="shared" si="6"/>
        <v>400000</v>
      </c>
      <c r="J29" s="45">
        <f t="shared" si="7"/>
        <v>5963365.584</v>
      </c>
      <c r="K29" s="45">
        <f t="shared" si="8"/>
        <v>20590870.63</v>
      </c>
      <c r="L29" s="45">
        <f t="shared" si="9"/>
        <v>13870663.24</v>
      </c>
      <c r="M29" s="45">
        <f t="shared" si="15"/>
        <v>675791.5836</v>
      </c>
      <c r="N29" s="45">
        <f t="shared" si="10"/>
        <v>5504295.99</v>
      </c>
      <c r="O29" s="45">
        <f t="shared" si="11"/>
        <v>18699167.64</v>
      </c>
      <c r="P29" s="45">
        <f t="shared" si="12"/>
        <v>185352.9635</v>
      </c>
      <c r="Q29" s="45">
        <f t="shared" si="13"/>
        <v>21600</v>
      </c>
      <c r="R29" s="45">
        <f t="shared" si="14"/>
        <v>378400</v>
      </c>
    </row>
    <row r="30">
      <c r="B30" s="27">
        <v>11.0</v>
      </c>
      <c r="C30" s="27">
        <v>2011.0</v>
      </c>
      <c r="D30" s="45">
        <v>6933.43</v>
      </c>
      <c r="E30" s="28">
        <f t="shared" si="2"/>
        <v>0.1075725903</v>
      </c>
      <c r="F30" s="28">
        <f t="shared" si="3"/>
        <v>0.07</v>
      </c>
      <c r="G30" s="28">
        <f t="shared" si="4"/>
        <v>0.08502903614</v>
      </c>
      <c r="H30" s="45">
        <f t="shared" si="5"/>
        <v>20590870.63</v>
      </c>
      <c r="I30" s="45">
        <f t="shared" si="6"/>
        <v>400000</v>
      </c>
      <c r="J30" s="45">
        <f t="shared" si="7"/>
        <v>1750821.883</v>
      </c>
      <c r="K30" s="45">
        <f t="shared" si="8"/>
        <v>21941692.52</v>
      </c>
      <c r="L30" s="45">
        <f t="shared" si="9"/>
        <v>18699167.64</v>
      </c>
      <c r="M30" s="45">
        <f t="shared" si="15"/>
        <v>716339.0786</v>
      </c>
      <c r="N30" s="45">
        <f t="shared" si="10"/>
        <v>1589972.201</v>
      </c>
      <c r="O30" s="45">
        <f t="shared" si="11"/>
        <v>19572800.77</v>
      </c>
      <c r="P30" s="45">
        <f t="shared" si="12"/>
        <v>190072.8153</v>
      </c>
      <c r="Q30" s="45">
        <f t="shared" si="13"/>
        <v>21600</v>
      </c>
      <c r="R30" s="45">
        <f t="shared" si="14"/>
        <v>378400</v>
      </c>
    </row>
    <row r="31">
      <c r="B31" s="27">
        <v>12.0</v>
      </c>
      <c r="C31" s="27">
        <v>2012.0</v>
      </c>
      <c r="D31" s="45">
        <v>6647.46</v>
      </c>
      <c r="E31" s="28">
        <f t="shared" si="2"/>
        <v>-0.04624509803</v>
      </c>
      <c r="F31" s="28">
        <f t="shared" si="3"/>
        <v>0.07</v>
      </c>
      <c r="G31" s="28">
        <f t="shared" si="4"/>
        <v>0.02350196079</v>
      </c>
      <c r="H31" s="45">
        <f t="shared" si="5"/>
        <v>21941692.52</v>
      </c>
      <c r="I31" s="45">
        <f t="shared" si="6"/>
        <v>400000</v>
      </c>
      <c r="J31" s="45">
        <f t="shared" si="7"/>
        <v>515672.7972</v>
      </c>
      <c r="K31" s="45">
        <f t="shared" si="8"/>
        <v>22057365.31</v>
      </c>
      <c r="L31" s="45">
        <f t="shared" si="9"/>
        <v>19572800.77</v>
      </c>
      <c r="M31" s="45">
        <f t="shared" si="15"/>
        <v>759319.4233</v>
      </c>
      <c r="N31" s="45">
        <f t="shared" si="10"/>
        <v>459999.1962</v>
      </c>
      <c r="O31" s="45">
        <f t="shared" si="11"/>
        <v>19273480.54</v>
      </c>
      <c r="P31" s="45">
        <f t="shared" si="12"/>
        <v>188269.1314</v>
      </c>
      <c r="Q31" s="45">
        <f t="shared" si="13"/>
        <v>21600</v>
      </c>
      <c r="R31" s="45">
        <f t="shared" si="14"/>
        <v>378400</v>
      </c>
    </row>
    <row r="32">
      <c r="B32" s="27">
        <v>13.0</v>
      </c>
      <c r="C32" s="27">
        <v>2013.0</v>
      </c>
      <c r="D32" s="45">
        <v>7358.52</v>
      </c>
      <c r="E32" s="28">
        <f t="shared" si="2"/>
        <v>0.1019671724</v>
      </c>
      <c r="F32" s="28">
        <f t="shared" si="3"/>
        <v>0.07</v>
      </c>
      <c r="G32" s="28">
        <f t="shared" si="4"/>
        <v>0.08278686897</v>
      </c>
      <c r="H32" s="45">
        <f t="shared" si="5"/>
        <v>22057365.31</v>
      </c>
      <c r="I32" s="45">
        <f t="shared" si="6"/>
        <v>400000</v>
      </c>
      <c r="J32" s="45">
        <f t="shared" si="7"/>
        <v>1826060.212</v>
      </c>
      <c r="K32" s="45">
        <f t="shared" si="8"/>
        <v>23483425.52</v>
      </c>
      <c r="L32" s="45">
        <f t="shared" si="9"/>
        <v>19273480.54</v>
      </c>
      <c r="M32" s="45">
        <f t="shared" si="15"/>
        <v>804878.5887</v>
      </c>
      <c r="N32" s="45">
        <f t="shared" si="10"/>
        <v>1595591.108</v>
      </c>
      <c r="O32" s="45">
        <f t="shared" si="11"/>
        <v>20064193.06</v>
      </c>
      <c r="P32" s="45">
        <f t="shared" si="12"/>
        <v>192494.8821</v>
      </c>
      <c r="Q32" s="45">
        <f t="shared" si="13"/>
        <v>21600</v>
      </c>
      <c r="R32" s="45">
        <f t="shared" si="14"/>
        <v>378400</v>
      </c>
    </row>
    <row r="33">
      <c r="B33" s="27">
        <v>14.0</v>
      </c>
      <c r="C33" s="27">
        <v>2014.0</v>
      </c>
      <c r="D33" s="45">
        <v>8105.73</v>
      </c>
      <c r="E33" s="28">
        <f t="shared" si="2"/>
        <v>0.0965435169</v>
      </c>
      <c r="F33" s="28">
        <f t="shared" si="3"/>
        <v>0.07</v>
      </c>
      <c r="G33" s="28">
        <f t="shared" si="4"/>
        <v>0.08061740676</v>
      </c>
      <c r="H33" s="45">
        <f t="shared" si="5"/>
        <v>23483425.52</v>
      </c>
      <c r="I33" s="45">
        <f t="shared" si="6"/>
        <v>400000</v>
      </c>
      <c r="J33" s="45">
        <f t="shared" si="7"/>
        <v>1893172.868</v>
      </c>
      <c r="K33" s="45">
        <f t="shared" si="8"/>
        <v>24976598.39</v>
      </c>
      <c r="L33" s="45">
        <f t="shared" si="9"/>
        <v>20064193.06</v>
      </c>
      <c r="M33" s="45">
        <f t="shared" si="15"/>
        <v>853171.3041</v>
      </c>
      <c r="N33" s="45">
        <f t="shared" si="10"/>
        <v>1617523.213</v>
      </c>
      <c r="O33" s="45">
        <f t="shared" si="11"/>
        <v>20828544.97</v>
      </c>
      <c r="P33" s="45">
        <f t="shared" si="12"/>
        <v>196136.5799</v>
      </c>
      <c r="Q33" s="45">
        <f t="shared" si="13"/>
        <v>21600</v>
      </c>
      <c r="R33" s="45">
        <f t="shared" si="14"/>
        <v>378400</v>
      </c>
    </row>
    <row r="34">
      <c r="B34" s="27">
        <v>15.0</v>
      </c>
      <c r="C34" s="27">
        <v>2015.0</v>
      </c>
      <c r="D34" s="45">
        <v>11796.73</v>
      </c>
      <c r="E34" s="28">
        <f t="shared" si="2"/>
        <v>0.4503568895</v>
      </c>
      <c r="F34" s="28">
        <f t="shared" si="3"/>
        <v>0.07</v>
      </c>
      <c r="G34" s="28">
        <f t="shared" si="4"/>
        <v>0.2221427558</v>
      </c>
      <c r="H34" s="45">
        <f t="shared" si="5"/>
        <v>24976598.39</v>
      </c>
      <c r="I34" s="45">
        <f t="shared" si="6"/>
        <v>400000</v>
      </c>
      <c r="J34" s="45">
        <f t="shared" si="7"/>
        <v>5548370.397</v>
      </c>
      <c r="K34" s="45">
        <f t="shared" si="8"/>
        <v>30124968.79</v>
      </c>
      <c r="L34" s="45">
        <f t="shared" si="9"/>
        <v>20828544.97</v>
      </c>
      <c r="M34" s="45">
        <f t="shared" si="15"/>
        <v>904361.5823</v>
      </c>
      <c r="N34" s="45">
        <f t="shared" si="10"/>
        <v>4626910.379</v>
      </c>
      <c r="O34" s="45">
        <f t="shared" si="11"/>
        <v>24551093.77</v>
      </c>
      <c r="P34" s="45">
        <f t="shared" si="12"/>
        <v>207357.6457</v>
      </c>
      <c r="Q34" s="45">
        <f t="shared" si="13"/>
        <v>22894.70572</v>
      </c>
      <c r="R34" s="45">
        <f t="shared" si="14"/>
        <v>377105.2943</v>
      </c>
    </row>
    <row r="35">
      <c r="B35" s="27">
        <v>16.0</v>
      </c>
      <c r="C35" s="27">
        <v>2016.0</v>
      </c>
      <c r="D35" s="45">
        <v>9617.51</v>
      </c>
      <c r="E35" s="28">
        <f t="shared" si="2"/>
        <v>-0.1897308534</v>
      </c>
      <c r="F35" s="28">
        <f t="shared" si="3"/>
        <v>0.07</v>
      </c>
      <c r="G35" s="28">
        <f t="shared" si="4"/>
        <v>-0.03389234135</v>
      </c>
      <c r="H35" s="45">
        <f t="shared" si="5"/>
        <v>30124968.79</v>
      </c>
      <c r="I35" s="45">
        <f t="shared" si="6"/>
        <v>400000</v>
      </c>
      <c r="J35" s="45">
        <f t="shared" si="7"/>
        <v>-1021005.725</v>
      </c>
      <c r="K35" s="45">
        <f t="shared" si="8"/>
        <v>28703963.06</v>
      </c>
      <c r="L35" s="45">
        <f t="shared" si="9"/>
        <v>24551093.77</v>
      </c>
      <c r="M35" s="45">
        <f t="shared" si="15"/>
        <v>958623.2772</v>
      </c>
      <c r="N35" s="45">
        <f t="shared" si="10"/>
        <v>-832094.0505</v>
      </c>
      <c r="O35" s="45">
        <f t="shared" si="11"/>
        <v>22760376.44</v>
      </c>
      <c r="P35" s="45">
        <f t="shared" si="12"/>
        <v>201773.9644</v>
      </c>
      <c r="Q35" s="45">
        <f t="shared" si="13"/>
        <v>22196.74555</v>
      </c>
      <c r="R35" s="45">
        <f t="shared" si="14"/>
        <v>377803.2545</v>
      </c>
      <c r="S35" s="44" t="s">
        <v>70</v>
      </c>
    </row>
    <row r="36">
      <c r="B36" s="27">
        <v>17.0</v>
      </c>
      <c r="C36" s="27">
        <v>2017.0</v>
      </c>
      <c r="D36" s="45">
        <v>12079.8</v>
      </c>
      <c r="E36" s="28">
        <f t="shared" si="2"/>
        <v>0.251021569</v>
      </c>
      <c r="F36" s="28">
        <f t="shared" si="3"/>
        <v>0.07</v>
      </c>
      <c r="G36" s="28">
        <f t="shared" si="4"/>
        <v>0.1424086276</v>
      </c>
      <c r="H36" s="45">
        <f t="shared" si="5"/>
        <v>28703963.06</v>
      </c>
      <c r="I36" s="45">
        <f t="shared" si="6"/>
        <v>400000</v>
      </c>
      <c r="J36" s="45">
        <f t="shared" si="7"/>
        <v>4087691.986</v>
      </c>
      <c r="K36" s="45">
        <f t="shared" si="8"/>
        <v>32391655.05</v>
      </c>
      <c r="L36" s="45">
        <f t="shared" si="9"/>
        <v>22760376.44</v>
      </c>
      <c r="M36" s="45">
        <f t="shared" si="15"/>
        <v>1016140.674</v>
      </c>
      <c r="N36" s="45">
        <f t="shared" si="10"/>
        <v>3241273.972</v>
      </c>
      <c r="O36" s="45">
        <f t="shared" si="11"/>
        <v>24985509.74</v>
      </c>
      <c r="P36" s="45">
        <f t="shared" si="12"/>
        <v>207935.0983</v>
      </c>
      <c r="Q36" s="45">
        <f t="shared" si="13"/>
        <v>22966.88728</v>
      </c>
      <c r="R36" s="45">
        <f t="shared" si="14"/>
        <v>377033.1127</v>
      </c>
    </row>
    <row r="37">
      <c r="B37" s="27">
        <v>18.0</v>
      </c>
      <c r="C37" s="27">
        <v>2018.0</v>
      </c>
      <c r="D37" s="45">
        <v>14311.52</v>
      </c>
      <c r="E37" s="28">
        <f t="shared" si="2"/>
        <v>0.1797480919</v>
      </c>
      <c r="F37" s="28">
        <f t="shared" si="3"/>
        <v>0.07</v>
      </c>
      <c r="G37" s="28">
        <f t="shared" si="4"/>
        <v>0.1138992367</v>
      </c>
      <c r="H37" s="45">
        <f t="shared" si="5"/>
        <v>32391655.05</v>
      </c>
      <c r="I37" s="45">
        <f t="shared" si="6"/>
        <v>400000</v>
      </c>
      <c r="J37" s="45">
        <f t="shared" si="7"/>
        <v>3689384.787</v>
      </c>
      <c r="K37" s="45">
        <f t="shared" si="8"/>
        <v>35681039.84</v>
      </c>
      <c r="L37" s="45">
        <f t="shared" si="9"/>
        <v>24985509.74</v>
      </c>
      <c r="M37" s="45">
        <f t="shared" si="15"/>
        <v>1077109.114</v>
      </c>
      <c r="N37" s="45">
        <f t="shared" si="10"/>
        <v>2845830.489</v>
      </c>
      <c r="O37" s="45">
        <f t="shared" si="11"/>
        <v>26754231.11</v>
      </c>
      <c r="P37" s="45">
        <f t="shared" si="12"/>
        <v>211687.7481</v>
      </c>
      <c r="Q37" s="45">
        <f t="shared" si="13"/>
        <v>23435.96851</v>
      </c>
      <c r="R37" s="45">
        <f t="shared" si="14"/>
        <v>376564.0315</v>
      </c>
    </row>
    <row r="38">
      <c r="B38" s="27">
        <v>19.0</v>
      </c>
      <c r="C38" s="27">
        <v>2019.0</v>
      </c>
      <c r="D38" s="45">
        <v>15077.91</v>
      </c>
      <c r="E38" s="28">
        <f t="shared" si="2"/>
        <v>0.04855056626</v>
      </c>
      <c r="F38" s="28">
        <f t="shared" si="3"/>
        <v>0.07</v>
      </c>
      <c r="G38" s="28">
        <f t="shared" si="4"/>
        <v>0.0614202265</v>
      </c>
      <c r="H38" s="45">
        <f t="shared" si="5"/>
        <v>35681039.84</v>
      </c>
      <c r="I38" s="45">
        <f t="shared" si="6"/>
        <v>400000</v>
      </c>
      <c r="J38" s="45">
        <f t="shared" si="7"/>
        <v>2191537.549</v>
      </c>
      <c r="K38" s="45">
        <f t="shared" si="8"/>
        <v>37472577.39</v>
      </c>
      <c r="L38" s="45">
        <f t="shared" si="9"/>
        <v>26754231.11</v>
      </c>
      <c r="M38" s="45">
        <f t="shared" si="15"/>
        <v>1141735.661</v>
      </c>
      <c r="N38" s="45">
        <f t="shared" si="10"/>
        <v>1643250.935</v>
      </c>
      <c r="O38" s="45">
        <f t="shared" si="11"/>
        <v>27255746.38</v>
      </c>
      <c r="P38" s="45">
        <f t="shared" si="12"/>
        <v>212720.1927</v>
      </c>
      <c r="Q38" s="45">
        <f t="shared" si="13"/>
        <v>23565.02408</v>
      </c>
      <c r="R38" s="45">
        <f t="shared" si="14"/>
        <v>376434.9759</v>
      </c>
    </row>
    <row r="39">
      <c r="B39" s="27">
        <v>20.0</v>
      </c>
      <c r="C39" s="27">
        <v>2020.0</v>
      </c>
      <c r="D39" s="45">
        <v>15632.14</v>
      </c>
      <c r="E39" s="28">
        <f t="shared" si="2"/>
        <v>0.03175774693</v>
      </c>
      <c r="F39" s="28">
        <f t="shared" si="3"/>
        <v>0.07</v>
      </c>
      <c r="G39" s="28">
        <f t="shared" si="4"/>
        <v>0.05470309877</v>
      </c>
      <c r="H39" s="45">
        <f t="shared" si="5"/>
        <v>37472577.39</v>
      </c>
      <c r="I39" s="45">
        <f t="shared" si="6"/>
        <v>400000</v>
      </c>
      <c r="J39" s="45">
        <f t="shared" si="7"/>
        <v>2049866.102</v>
      </c>
      <c r="K39" s="45">
        <f t="shared" si="8"/>
        <v>39122443.49</v>
      </c>
      <c r="L39" s="45">
        <f t="shared" si="9"/>
        <v>27255746.38</v>
      </c>
      <c r="M39" s="45">
        <f t="shared" si="15"/>
        <v>1210239.801</v>
      </c>
      <c r="N39" s="45">
        <f t="shared" si="10"/>
        <v>1490973.787</v>
      </c>
      <c r="O39" s="45">
        <f t="shared" si="11"/>
        <v>27536480.37</v>
      </c>
      <c r="P39" s="45">
        <f t="shared" si="12"/>
        <v>213403.7489</v>
      </c>
      <c r="Q39" s="45">
        <f t="shared" si="13"/>
        <v>23650.46862</v>
      </c>
      <c r="R39" s="45">
        <f t="shared" si="14"/>
        <v>376349.5314</v>
      </c>
      <c r="S39" s="44" t="s">
        <v>71</v>
      </c>
    </row>
    <row r="40">
      <c r="B40" s="27">
        <v>21.0</v>
      </c>
      <c r="C40" s="27">
        <v>2021.0</v>
      </c>
      <c r="D40" s="45">
        <v>20975.08</v>
      </c>
      <c r="E40" s="28">
        <f t="shared" si="2"/>
        <v>0.3367919747</v>
      </c>
      <c r="F40" s="28">
        <f t="shared" si="3"/>
        <v>0.07</v>
      </c>
      <c r="G40" s="28">
        <f t="shared" si="4"/>
        <v>0.1767167899</v>
      </c>
      <c r="H40" s="45">
        <f t="shared" si="5"/>
        <v>39122443.49</v>
      </c>
      <c r="I40" s="45">
        <f t="shared" si="6"/>
        <v>400000</v>
      </c>
      <c r="J40" s="45">
        <f t="shared" si="7"/>
        <v>6913592.626</v>
      </c>
      <c r="K40" s="45">
        <f t="shared" si="8"/>
        <v>45636036.11</v>
      </c>
      <c r="L40" s="45">
        <f t="shared" si="9"/>
        <v>27536480.37</v>
      </c>
      <c r="M40" s="45">
        <f t="shared" si="15"/>
        <v>1282854.189</v>
      </c>
      <c r="N40" s="45">
        <f t="shared" si="10"/>
        <v>4866158.416</v>
      </c>
      <c r="O40" s="45">
        <f t="shared" si="11"/>
        <v>31119784.6</v>
      </c>
      <c r="P40" s="45">
        <f t="shared" si="12"/>
        <v>218140.7346</v>
      </c>
      <c r="Q40" s="45">
        <f t="shared" si="13"/>
        <v>24242.59183</v>
      </c>
      <c r="R40" s="45">
        <f t="shared" si="14"/>
        <v>375757.4082</v>
      </c>
    </row>
    <row r="41">
      <c r="B41" s="27">
        <v>22.0</v>
      </c>
      <c r="C41" s="27">
        <v>2022.0</v>
      </c>
      <c r="D41" s="45">
        <v>23882.72</v>
      </c>
      <c r="E41" s="28">
        <f t="shared" si="2"/>
        <v>0.1336235476</v>
      </c>
      <c r="F41" s="28">
        <f t="shared" si="3"/>
        <v>0.07</v>
      </c>
      <c r="G41" s="28">
        <f t="shared" si="4"/>
        <v>0.09544941902</v>
      </c>
      <c r="H41" s="45">
        <f t="shared" si="5"/>
        <v>45636036.11</v>
      </c>
      <c r="I41" s="45">
        <f t="shared" si="6"/>
        <v>400000</v>
      </c>
      <c r="J41" s="45">
        <f t="shared" si="7"/>
        <v>4355933.134</v>
      </c>
      <c r="K41" s="45">
        <f t="shared" si="8"/>
        <v>49591969.25</v>
      </c>
      <c r="L41" s="45">
        <f t="shared" si="9"/>
        <v>31119784.6</v>
      </c>
      <c r="M41" s="45">
        <f t="shared" si="15"/>
        <v>1359825.44</v>
      </c>
      <c r="N41" s="45">
        <f t="shared" si="10"/>
        <v>2970365.36</v>
      </c>
      <c r="O41" s="45">
        <f t="shared" si="11"/>
        <v>32730324.52</v>
      </c>
      <c r="P41" s="45">
        <f t="shared" si="12"/>
        <v>219828.0531</v>
      </c>
      <c r="Q41" s="45">
        <f t="shared" si="13"/>
        <v>24453.50664</v>
      </c>
      <c r="R41" s="45">
        <f t="shared" si="14"/>
        <v>375546.4934</v>
      </c>
    </row>
    <row r="42">
      <c r="B42" s="27">
        <v>23.0</v>
      </c>
      <c r="C42" s="27">
        <v>2023.0</v>
      </c>
      <c r="D42" s="45">
        <v>25398.4</v>
      </c>
      <c r="E42" s="28">
        <f t="shared" si="2"/>
        <v>0.0584634581</v>
      </c>
      <c r="F42" s="28">
        <f t="shared" si="3"/>
        <v>0.07</v>
      </c>
      <c r="G42" s="28">
        <f t="shared" si="4"/>
        <v>0.06538538324</v>
      </c>
      <c r="H42" s="45">
        <f t="shared" si="5"/>
        <v>49591969.25</v>
      </c>
      <c r="I42" s="45">
        <f t="shared" si="6"/>
        <v>400000</v>
      </c>
      <c r="J42" s="45">
        <f t="shared" si="7"/>
        <v>3242589.915</v>
      </c>
      <c r="K42" s="45">
        <f t="shared" si="8"/>
        <v>52434559.16</v>
      </c>
      <c r="L42" s="45">
        <f t="shared" si="9"/>
        <v>32730324.52</v>
      </c>
      <c r="M42" s="45">
        <f t="shared" si="15"/>
        <v>1441414.967</v>
      </c>
      <c r="N42" s="45">
        <f t="shared" si="10"/>
        <v>2140084.812</v>
      </c>
      <c r="O42" s="45">
        <f t="shared" si="11"/>
        <v>33428994.36</v>
      </c>
      <c r="P42" s="45">
        <f t="shared" si="12"/>
        <v>220554.4286</v>
      </c>
      <c r="Q42" s="45">
        <f t="shared" si="13"/>
        <v>24544.30358</v>
      </c>
      <c r="R42" s="45">
        <f t="shared" si="14"/>
        <v>375455.6964</v>
      </c>
    </row>
    <row r="43">
      <c r="B43" s="27">
        <v>24.0</v>
      </c>
      <c r="C43" s="27">
        <v>2024.0</v>
      </c>
      <c r="D43" s="45">
        <v>32884.29</v>
      </c>
      <c r="E43" s="28">
        <f t="shared" si="2"/>
        <v>0.289738645</v>
      </c>
      <c r="F43" s="28">
        <f t="shared" si="3"/>
        <v>0.07</v>
      </c>
      <c r="G43" s="28">
        <f t="shared" si="4"/>
        <v>0.157895458</v>
      </c>
      <c r="H43" s="45">
        <f t="shared" si="5"/>
        <v>52434559.16</v>
      </c>
      <c r="I43" s="45">
        <f t="shared" si="6"/>
        <v>400000</v>
      </c>
      <c r="J43" s="45">
        <f t="shared" si="7"/>
        <v>8279178.733</v>
      </c>
      <c r="K43" s="45">
        <f t="shared" si="8"/>
        <v>60313737.9</v>
      </c>
      <c r="L43" s="45">
        <f t="shared" si="9"/>
        <v>33428994.36</v>
      </c>
      <c r="M43" s="45">
        <f t="shared" si="15"/>
        <v>1527899.865</v>
      </c>
      <c r="N43" s="45">
        <f t="shared" si="10"/>
        <v>5278286.375</v>
      </c>
      <c r="O43" s="45">
        <f t="shared" si="11"/>
        <v>37179380.87</v>
      </c>
      <c r="P43" s="45">
        <f t="shared" si="12"/>
        <v>223159.9369</v>
      </c>
      <c r="Q43" s="45">
        <f t="shared" si="13"/>
        <v>24869.99211</v>
      </c>
      <c r="R43" s="45">
        <f t="shared" si="14"/>
        <v>375130.0079</v>
      </c>
    </row>
    <row r="44">
      <c r="B44" s="27">
        <v>25.0</v>
      </c>
      <c r="C44" s="27">
        <v>2025.0</v>
      </c>
      <c r="D44" s="45">
        <v>32965.25</v>
      </c>
      <c r="E44" s="28">
        <f t="shared" si="2"/>
        <v>-0.002538034119</v>
      </c>
      <c r="F44" s="28">
        <f t="shared" si="3"/>
        <v>0.07</v>
      </c>
      <c r="G44" s="28">
        <f t="shared" si="4"/>
        <v>0.04098478635</v>
      </c>
      <c r="H44" s="45">
        <f t="shared" si="5"/>
        <v>60313737.9</v>
      </c>
      <c r="I44" s="45">
        <f t="shared" si="6"/>
        <v>400000</v>
      </c>
      <c r="J44" s="45">
        <f t="shared" si="7"/>
        <v>2471945.662</v>
      </c>
      <c r="K44" s="45">
        <f t="shared" si="8"/>
        <v>62385683.56</v>
      </c>
      <c r="L44" s="45">
        <f t="shared" si="9"/>
        <v>37179380.87</v>
      </c>
      <c r="M44" s="45">
        <f t="shared" si="15"/>
        <v>1619573.857</v>
      </c>
      <c r="N44" s="45">
        <f t="shared" si="10"/>
        <v>1523788.982</v>
      </c>
      <c r="O44" s="45">
        <f t="shared" si="11"/>
        <v>37083596</v>
      </c>
      <c r="P44" s="45">
        <f t="shared" si="12"/>
        <v>223181.6473</v>
      </c>
      <c r="Q44" s="45">
        <f t="shared" si="13"/>
        <v>24872.70592</v>
      </c>
      <c r="R44" s="45">
        <f t="shared" si="14"/>
        <v>375127.2941</v>
      </c>
    </row>
    <row r="45">
      <c r="B45" s="27">
        <v>26.0</v>
      </c>
      <c r="C45" s="27">
        <v>2026.0</v>
      </c>
      <c r="D45" s="45">
        <v>37472.06</v>
      </c>
      <c r="E45" s="28">
        <f t="shared" si="2"/>
        <v>0.1317139639</v>
      </c>
      <c r="F45" s="28">
        <f t="shared" si="3"/>
        <v>0.07</v>
      </c>
      <c r="G45" s="28">
        <f t="shared" si="4"/>
        <v>0.09468558558</v>
      </c>
      <c r="H45" s="45">
        <f t="shared" si="5"/>
        <v>62385683.56</v>
      </c>
      <c r="I45" s="45">
        <f t="shared" si="6"/>
        <v>400000</v>
      </c>
      <c r="J45" s="45">
        <f t="shared" si="7"/>
        <v>5907024.979</v>
      </c>
      <c r="K45" s="45">
        <f t="shared" si="8"/>
        <v>67892708.54</v>
      </c>
      <c r="L45" s="45">
        <f t="shared" si="9"/>
        <v>37083596</v>
      </c>
      <c r="M45" s="45">
        <f t="shared" si="15"/>
        <v>1716748.288</v>
      </c>
      <c r="N45" s="45">
        <f t="shared" si="10"/>
        <v>3511282.002</v>
      </c>
      <c r="O45" s="45">
        <f t="shared" si="11"/>
        <v>38878129.71</v>
      </c>
      <c r="P45" s="45">
        <f t="shared" si="12"/>
        <v>224242.2413</v>
      </c>
      <c r="Q45" s="45">
        <f t="shared" si="13"/>
        <v>25005.28016</v>
      </c>
      <c r="R45" s="45">
        <f t="shared" si="14"/>
        <v>374994.7198</v>
      </c>
    </row>
    <row r="46"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>
      <c r="A47" s="48"/>
      <c r="B47" s="49" t="s">
        <v>34</v>
      </c>
      <c r="C47" s="48"/>
      <c r="D47" s="48"/>
      <c r="E47" s="48"/>
      <c r="F47" s="48"/>
      <c r="G47" s="48"/>
      <c r="H47" s="50"/>
      <c r="I47" s="51">
        <f>SUM(I20:I45)</f>
        <v>10400000</v>
      </c>
      <c r="J47" s="50"/>
      <c r="K47" s="50"/>
      <c r="L47" s="50"/>
      <c r="M47" s="51">
        <f>SUM(M20:M45)</f>
        <v>23662553.09</v>
      </c>
      <c r="N47" s="50"/>
      <c r="O47" s="50"/>
      <c r="P47" s="50"/>
      <c r="Q47" s="51">
        <f t="shared" ref="Q47:R47" si="16">SUM(Q20:Q45)</f>
        <v>589098.18</v>
      </c>
      <c r="R47" s="51">
        <f t="shared" si="16"/>
        <v>9810901.82</v>
      </c>
      <c r="S47" s="48"/>
      <c r="T47" s="48"/>
      <c r="U47" s="48"/>
      <c r="V47" s="48"/>
      <c r="W47" s="48"/>
      <c r="X47" s="48"/>
      <c r="Y47" s="48"/>
      <c r="Z47" s="48"/>
    </row>
    <row r="48">
      <c r="E48" s="46"/>
      <c r="F48" s="46"/>
    </row>
    <row r="49">
      <c r="B49" s="7"/>
    </row>
    <row r="50">
      <c r="B50" s="35" t="s">
        <v>35</v>
      </c>
    </row>
    <row r="51">
      <c r="B51" s="52" t="s">
        <v>36</v>
      </c>
    </row>
    <row r="52">
      <c r="B52" s="53" t="s">
        <v>72</v>
      </c>
    </row>
    <row r="53">
      <c r="B53" s="53" t="s">
        <v>73</v>
      </c>
    </row>
    <row r="54">
      <c r="B54" s="53" t="s">
        <v>74</v>
      </c>
    </row>
    <row r="55">
      <c r="B55" s="53" t="s">
        <v>75</v>
      </c>
    </row>
    <row r="56">
      <c r="B56" s="53" t="s">
        <v>40</v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2">
    <mergeCell ref="B2:R2"/>
    <mergeCell ref="B3:C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8.88"/>
    <col customWidth="1" min="3" max="3" width="30.13"/>
    <col customWidth="1" min="4" max="4" width="25.88"/>
    <col customWidth="1" min="5" max="5" width="31.25"/>
    <col customWidth="1" min="6" max="6" width="34.38"/>
    <col customWidth="1" min="7" max="7" width="30.25"/>
    <col customWidth="1" min="8" max="8" width="37.63"/>
    <col customWidth="1" min="9" max="14" width="7.63"/>
    <col customWidth="1" min="15" max="15" width="68.88"/>
    <col customWidth="1" min="16" max="26" width="7.63"/>
  </cols>
  <sheetData>
    <row r="2">
      <c r="B2" s="54" t="s">
        <v>76</v>
      </c>
    </row>
    <row r="3">
      <c r="B3" s="6" t="s">
        <v>2</v>
      </c>
      <c r="C3" s="4"/>
      <c r="D3" s="7"/>
      <c r="E3" s="7"/>
      <c r="F3" s="7"/>
    </row>
    <row r="5">
      <c r="B5" s="8" t="s">
        <v>77</v>
      </c>
      <c r="C5" s="9"/>
      <c r="E5" s="8" t="s">
        <v>78</v>
      </c>
      <c r="F5" s="9"/>
      <c r="L5" s="44">
        <v>1000000.0</v>
      </c>
      <c r="M5" s="44">
        <v>900000.0</v>
      </c>
      <c r="N5" s="44">
        <v>50000.0</v>
      </c>
    </row>
    <row r="6">
      <c r="B6" s="10" t="s">
        <v>79</v>
      </c>
      <c r="C6" s="55">
        <v>30.0</v>
      </c>
      <c r="E6" s="10" t="s">
        <v>80</v>
      </c>
      <c r="F6" s="56">
        <f t="shared" ref="F6:F7" si="1">C7-C6</f>
        <v>5</v>
      </c>
      <c r="L6" s="46">
        <f>N5/L5</f>
        <v>0.05</v>
      </c>
      <c r="M6" s="46">
        <f>N5/M5</f>
        <v>0.05555555556</v>
      </c>
    </row>
    <row r="7">
      <c r="B7" s="10" t="s">
        <v>81</v>
      </c>
      <c r="C7" s="55">
        <v>35.0</v>
      </c>
      <c r="E7" s="10" t="s">
        <v>82</v>
      </c>
      <c r="F7" s="56">
        <f t="shared" si="1"/>
        <v>35</v>
      </c>
    </row>
    <row r="8">
      <c r="B8" s="10" t="s">
        <v>83</v>
      </c>
      <c r="C8" s="55">
        <v>70.0</v>
      </c>
      <c r="E8" s="10" t="s">
        <v>84</v>
      </c>
      <c r="F8" s="15">
        <f>C9*(1+C10)^(C7-C6)</f>
        <v>66911.27888</v>
      </c>
    </row>
    <row r="9">
      <c r="B9" s="10" t="s">
        <v>85</v>
      </c>
      <c r="C9" s="57">
        <v>50000.0</v>
      </c>
      <c r="E9" s="10" t="s">
        <v>86</v>
      </c>
      <c r="F9" s="15">
        <f>F8*12</f>
        <v>802935.3466</v>
      </c>
    </row>
    <row r="10">
      <c r="B10" s="10" t="s">
        <v>87</v>
      </c>
      <c r="C10" s="14">
        <v>0.06</v>
      </c>
      <c r="E10" s="58" t="s">
        <v>88</v>
      </c>
      <c r="F10" s="59">
        <f>F9/C11</f>
        <v>20073383.66</v>
      </c>
    </row>
    <row r="11">
      <c r="B11" s="10" t="s">
        <v>7</v>
      </c>
      <c r="C11" s="14">
        <v>0.04</v>
      </c>
      <c r="E11" s="10" t="s">
        <v>89</v>
      </c>
      <c r="F11" s="15">
        <f>C9*(1+C10)^(39)</f>
        <v>485175.3744</v>
      </c>
    </row>
    <row r="12">
      <c r="B12" s="10" t="s">
        <v>90</v>
      </c>
      <c r="C12" s="14">
        <v>0.08</v>
      </c>
      <c r="E12" s="10" t="s">
        <v>91</v>
      </c>
      <c r="F12" s="60">
        <f>C12-C10</f>
        <v>0.02</v>
      </c>
    </row>
    <row r="15">
      <c r="B15" s="34" t="s">
        <v>92</v>
      </c>
    </row>
    <row r="16">
      <c r="B16" s="21" t="s">
        <v>19</v>
      </c>
      <c r="C16" s="21" t="s">
        <v>93</v>
      </c>
      <c r="D16" s="21" t="s">
        <v>94</v>
      </c>
      <c r="E16" s="21" t="s">
        <v>95</v>
      </c>
      <c r="F16" s="21" t="s">
        <v>96</v>
      </c>
      <c r="G16" s="21" t="s">
        <v>97</v>
      </c>
      <c r="H16" s="21" t="s">
        <v>98</v>
      </c>
    </row>
    <row r="17">
      <c r="B17" s="27">
        <v>1.0</v>
      </c>
      <c r="C17" s="27">
        <f>$C$7+1-1</f>
        <v>35</v>
      </c>
      <c r="D17" s="25">
        <f>$F$9</f>
        <v>802935.3466</v>
      </c>
      <c r="E17" s="25">
        <f>$F$10</f>
        <v>20073383.66</v>
      </c>
      <c r="F17" s="25">
        <f t="shared" ref="F17:F51" si="2">E17*$C$12</f>
        <v>1605870.693</v>
      </c>
      <c r="G17" s="25">
        <f t="shared" ref="G17:G51" si="3">E17+F17-D17</f>
        <v>20876319.01</v>
      </c>
      <c r="H17" s="25">
        <f t="shared" ref="H17:H51" si="4">D17/12</f>
        <v>66911.27888</v>
      </c>
    </row>
    <row r="18">
      <c r="B18" s="27">
        <v>2.0</v>
      </c>
      <c r="C18" s="27">
        <f>$C$7+2-1</f>
        <v>36</v>
      </c>
      <c r="D18" s="25">
        <f t="shared" ref="D18:D51" si="5">D17*(1+$C$10)</f>
        <v>851111.4674</v>
      </c>
      <c r="E18" s="25">
        <f t="shared" ref="E18:E51" si="6">MAX(G17,0)</f>
        <v>20876319.01</v>
      </c>
      <c r="F18" s="25">
        <f t="shared" si="2"/>
        <v>1670105.521</v>
      </c>
      <c r="G18" s="25">
        <f t="shared" si="3"/>
        <v>21695313.06</v>
      </c>
      <c r="H18" s="25">
        <f t="shared" si="4"/>
        <v>70925.95561</v>
      </c>
      <c r="O18" s="44" t="s">
        <v>99</v>
      </c>
    </row>
    <row r="19">
      <c r="B19" s="27">
        <v>3.0</v>
      </c>
      <c r="C19" s="27">
        <f>$C$7+3-1</f>
        <v>37</v>
      </c>
      <c r="D19" s="25">
        <f t="shared" si="5"/>
        <v>902178.1554</v>
      </c>
      <c r="E19" s="25">
        <f t="shared" si="6"/>
        <v>21695313.06</v>
      </c>
      <c r="F19" s="25">
        <f t="shared" si="2"/>
        <v>1735625.045</v>
      </c>
      <c r="G19" s="25">
        <f t="shared" si="3"/>
        <v>22528759.95</v>
      </c>
      <c r="H19" s="25">
        <f t="shared" si="4"/>
        <v>75181.51295</v>
      </c>
    </row>
    <row r="20">
      <c r="B20" s="27">
        <v>4.0</v>
      </c>
      <c r="C20" s="27">
        <f>$C$7+4-1</f>
        <v>38</v>
      </c>
      <c r="D20" s="25">
        <f t="shared" si="5"/>
        <v>956308.8447</v>
      </c>
      <c r="E20" s="25">
        <f t="shared" si="6"/>
        <v>22528759.95</v>
      </c>
      <c r="F20" s="25">
        <f t="shared" si="2"/>
        <v>1802300.796</v>
      </c>
      <c r="G20" s="25">
        <f t="shared" si="3"/>
        <v>23374751.91</v>
      </c>
      <c r="H20" s="25">
        <f t="shared" si="4"/>
        <v>79692.40373</v>
      </c>
    </row>
    <row r="21">
      <c r="B21" s="27">
        <v>5.0</v>
      </c>
      <c r="C21" s="27">
        <f>$C$7+5-1</f>
        <v>39</v>
      </c>
      <c r="D21" s="25">
        <f t="shared" si="5"/>
        <v>1013687.375</v>
      </c>
      <c r="E21" s="25">
        <f t="shared" si="6"/>
        <v>23374751.91</v>
      </c>
      <c r="F21" s="25">
        <f t="shared" si="2"/>
        <v>1869980.152</v>
      </c>
      <c r="G21" s="25">
        <f t="shared" si="3"/>
        <v>24231044.68</v>
      </c>
      <c r="H21" s="25">
        <f t="shared" si="4"/>
        <v>84473.94795</v>
      </c>
      <c r="O21" s="61" t="str">
        <f> [20073384(1+0.08)^35 - 50000*{1+0.08)^35-1}/0.08]</f>
        <v>#ERROR!</v>
      </c>
    </row>
    <row r="22">
      <c r="B22" s="27">
        <v>6.0</v>
      </c>
      <c r="C22" s="27">
        <f>$C$7+6-1</f>
        <v>40</v>
      </c>
      <c r="D22" s="25">
        <f t="shared" si="5"/>
        <v>1074508.618</v>
      </c>
      <c r="E22" s="25">
        <f t="shared" si="6"/>
        <v>24231044.68</v>
      </c>
      <c r="F22" s="25">
        <f t="shared" si="2"/>
        <v>1938483.575</v>
      </c>
      <c r="G22" s="25">
        <f t="shared" si="3"/>
        <v>25095019.64</v>
      </c>
      <c r="H22" s="25">
        <f t="shared" si="4"/>
        <v>89542.38483</v>
      </c>
    </row>
    <row r="23">
      <c r="B23" s="27">
        <v>7.0</v>
      </c>
      <c r="C23" s="27">
        <f>$C$7+7-1</f>
        <v>41</v>
      </c>
      <c r="D23" s="25">
        <f t="shared" si="5"/>
        <v>1138979.135</v>
      </c>
      <c r="E23" s="25">
        <f t="shared" si="6"/>
        <v>25095019.64</v>
      </c>
      <c r="F23" s="25">
        <f t="shared" si="2"/>
        <v>2007601.571</v>
      </c>
      <c r="G23" s="25">
        <f t="shared" si="3"/>
        <v>25963642.08</v>
      </c>
      <c r="H23" s="25">
        <f t="shared" si="4"/>
        <v>94914.92792</v>
      </c>
    </row>
    <row r="24">
      <c r="B24" s="27">
        <v>8.0</v>
      </c>
      <c r="C24" s="27">
        <f>$C$7+8-1</f>
        <v>42</v>
      </c>
      <c r="D24" s="25">
        <f t="shared" si="5"/>
        <v>1207317.883</v>
      </c>
      <c r="E24" s="25">
        <f t="shared" si="6"/>
        <v>25963642.08</v>
      </c>
      <c r="F24" s="25">
        <f t="shared" si="2"/>
        <v>2077091.366</v>
      </c>
      <c r="G24" s="25">
        <f t="shared" si="3"/>
        <v>26833415.56</v>
      </c>
      <c r="H24" s="25">
        <f t="shared" si="4"/>
        <v>100609.8236</v>
      </c>
      <c r="O24" s="61">
        <f>20073384*(1+0.08)^26</f>
        <v>148469838.2</v>
      </c>
    </row>
    <row r="25">
      <c r="B25" s="27">
        <v>9.0</v>
      </c>
      <c r="C25" s="27">
        <f>$C$7+9-1</f>
        <v>43</v>
      </c>
      <c r="D25" s="25">
        <f t="shared" si="5"/>
        <v>1279756.956</v>
      </c>
      <c r="E25" s="25">
        <f t="shared" si="6"/>
        <v>26833415.56</v>
      </c>
      <c r="F25" s="25">
        <f t="shared" si="2"/>
        <v>2146673.245</v>
      </c>
      <c r="G25" s="25">
        <f t="shared" si="3"/>
        <v>27700331.85</v>
      </c>
      <c r="H25" s="25">
        <f t="shared" si="4"/>
        <v>106646.413</v>
      </c>
      <c r="O25" s="61" t="str">
        <f>50000*[{1+0.08}^(26-1)}/0.08]</f>
        <v>#ERROR!</v>
      </c>
    </row>
    <row r="26">
      <c r="B26" s="27">
        <v>10.0</v>
      </c>
      <c r="C26" s="27">
        <f>$C$7+10-1</f>
        <v>44</v>
      </c>
      <c r="D26" s="25">
        <f t="shared" si="5"/>
        <v>1356542.373</v>
      </c>
      <c r="E26" s="25">
        <f t="shared" si="6"/>
        <v>27700331.85</v>
      </c>
      <c r="F26" s="25">
        <f t="shared" si="2"/>
        <v>2216026.548</v>
      </c>
      <c r="G26" s="25">
        <f t="shared" si="3"/>
        <v>28559816.02</v>
      </c>
      <c r="H26" s="25">
        <f t="shared" si="4"/>
        <v>113045.1978</v>
      </c>
    </row>
    <row r="27">
      <c r="B27" s="27">
        <v>11.0</v>
      </c>
      <c r="C27" s="27">
        <f>$C$7+11-1</f>
        <v>45</v>
      </c>
      <c r="D27" s="25">
        <f t="shared" si="5"/>
        <v>1437934.916</v>
      </c>
      <c r="E27" s="25">
        <f t="shared" si="6"/>
        <v>28559816.02</v>
      </c>
      <c r="F27" s="25">
        <f t="shared" si="2"/>
        <v>2284785.282</v>
      </c>
      <c r="G27" s="25">
        <f t="shared" si="3"/>
        <v>29406666.39</v>
      </c>
      <c r="H27" s="25">
        <f t="shared" si="4"/>
        <v>119827.9097</v>
      </c>
    </row>
    <row r="28">
      <c r="B28" s="27">
        <v>12.0</v>
      </c>
      <c r="C28" s="27">
        <f>$C$7+12-1</f>
        <v>46</v>
      </c>
      <c r="D28" s="25">
        <f t="shared" si="5"/>
        <v>1524211.011</v>
      </c>
      <c r="E28" s="25">
        <f t="shared" si="6"/>
        <v>29406666.39</v>
      </c>
      <c r="F28" s="25">
        <f t="shared" si="2"/>
        <v>2352533.311</v>
      </c>
      <c r="G28" s="25">
        <f t="shared" si="3"/>
        <v>30234988.69</v>
      </c>
      <c r="H28" s="25">
        <f t="shared" si="4"/>
        <v>127017.5842</v>
      </c>
    </row>
    <row r="29">
      <c r="B29" s="27">
        <v>13.0</v>
      </c>
      <c r="C29" s="27">
        <f>$C$7+13-1</f>
        <v>47</v>
      </c>
      <c r="D29" s="25">
        <f t="shared" si="5"/>
        <v>1615663.671</v>
      </c>
      <c r="E29" s="25">
        <f t="shared" si="6"/>
        <v>30234988.69</v>
      </c>
      <c r="F29" s="25">
        <f t="shared" si="2"/>
        <v>2418799.095</v>
      </c>
      <c r="G29" s="25">
        <f t="shared" si="3"/>
        <v>31038124.11</v>
      </c>
      <c r="H29" s="25">
        <f t="shared" si="4"/>
        <v>134638.6393</v>
      </c>
    </row>
    <row r="30">
      <c r="B30" s="27">
        <v>14.0</v>
      </c>
      <c r="C30" s="27">
        <f>$C$7+14-1</f>
        <v>48</v>
      </c>
      <c r="D30" s="25">
        <f t="shared" si="5"/>
        <v>1712603.492</v>
      </c>
      <c r="E30" s="25">
        <f t="shared" si="6"/>
        <v>31038124.11</v>
      </c>
      <c r="F30" s="25">
        <f t="shared" si="2"/>
        <v>2483049.929</v>
      </c>
      <c r="G30" s="25">
        <f t="shared" si="3"/>
        <v>31808570.55</v>
      </c>
      <c r="H30" s="25">
        <f t="shared" si="4"/>
        <v>142716.9576</v>
      </c>
    </row>
    <row r="31">
      <c r="B31" s="27">
        <v>15.0</v>
      </c>
      <c r="C31" s="27">
        <f>$C$7+15-1</f>
        <v>49</v>
      </c>
      <c r="D31" s="25">
        <f t="shared" si="5"/>
        <v>1815359.701</v>
      </c>
      <c r="E31" s="25">
        <f t="shared" si="6"/>
        <v>31808570.55</v>
      </c>
      <c r="F31" s="25">
        <f t="shared" si="2"/>
        <v>2544685.644</v>
      </c>
      <c r="G31" s="25">
        <f t="shared" si="3"/>
        <v>32537896.49</v>
      </c>
      <c r="H31" s="25">
        <f t="shared" si="4"/>
        <v>151279.9751</v>
      </c>
    </row>
    <row r="32">
      <c r="B32" s="27">
        <v>16.0</v>
      </c>
      <c r="C32" s="27">
        <f>$C$7+16-1</f>
        <v>50</v>
      </c>
      <c r="D32" s="25">
        <f t="shared" si="5"/>
        <v>1924281.283</v>
      </c>
      <c r="E32" s="25">
        <f t="shared" si="6"/>
        <v>32537896.49</v>
      </c>
      <c r="F32" s="25">
        <f t="shared" si="2"/>
        <v>2603031.719</v>
      </c>
      <c r="G32" s="25">
        <f t="shared" si="3"/>
        <v>33216646.93</v>
      </c>
      <c r="H32" s="25">
        <f t="shared" si="4"/>
        <v>160356.7736</v>
      </c>
    </row>
    <row r="33">
      <c r="B33" s="27">
        <v>17.0</v>
      </c>
      <c r="C33" s="27">
        <f>$C$7+17-1</f>
        <v>51</v>
      </c>
      <c r="D33" s="25">
        <f t="shared" si="5"/>
        <v>2039738.16</v>
      </c>
      <c r="E33" s="25">
        <f t="shared" si="6"/>
        <v>33216646.93</v>
      </c>
      <c r="F33" s="25">
        <f t="shared" si="2"/>
        <v>2657331.754</v>
      </c>
      <c r="G33" s="25">
        <f t="shared" si="3"/>
        <v>33834240.52</v>
      </c>
      <c r="H33" s="25">
        <f t="shared" si="4"/>
        <v>169978.18</v>
      </c>
    </row>
    <row r="34">
      <c r="B34" s="27">
        <v>18.0</v>
      </c>
      <c r="C34" s="27">
        <f>$C$7+18-1</f>
        <v>52</v>
      </c>
      <c r="D34" s="25">
        <f t="shared" si="5"/>
        <v>2162122.45</v>
      </c>
      <c r="E34" s="25">
        <f t="shared" si="6"/>
        <v>33834240.52</v>
      </c>
      <c r="F34" s="25">
        <f t="shared" si="2"/>
        <v>2706739.242</v>
      </c>
      <c r="G34" s="25">
        <f t="shared" si="3"/>
        <v>34378857.31</v>
      </c>
      <c r="H34" s="25">
        <f t="shared" si="4"/>
        <v>180176.8708</v>
      </c>
    </row>
    <row r="35">
      <c r="B35" s="27">
        <v>19.0</v>
      </c>
      <c r="C35" s="27">
        <f>$C$7+19-1</f>
        <v>53</v>
      </c>
      <c r="D35" s="25">
        <f t="shared" si="5"/>
        <v>2291849.797</v>
      </c>
      <c r="E35" s="25">
        <f t="shared" si="6"/>
        <v>34378857.31</v>
      </c>
      <c r="F35" s="25">
        <f t="shared" si="2"/>
        <v>2750308.585</v>
      </c>
      <c r="G35" s="25">
        <f t="shared" si="3"/>
        <v>34837316.1</v>
      </c>
      <c r="H35" s="25">
        <f t="shared" si="4"/>
        <v>190987.4831</v>
      </c>
    </row>
    <row r="36">
      <c r="B36" s="27">
        <v>20.0</v>
      </c>
      <c r="C36" s="27">
        <f>$C$7+20-1</f>
        <v>54</v>
      </c>
      <c r="D36" s="25">
        <f t="shared" si="5"/>
        <v>2429360.785</v>
      </c>
      <c r="E36" s="25">
        <f t="shared" si="6"/>
        <v>34837316.1</v>
      </c>
      <c r="F36" s="25">
        <f t="shared" si="2"/>
        <v>2786985.288</v>
      </c>
      <c r="G36" s="25">
        <f t="shared" si="3"/>
        <v>35194940.6</v>
      </c>
      <c r="H36" s="25">
        <f t="shared" si="4"/>
        <v>202446.7321</v>
      </c>
    </row>
    <row r="37">
      <c r="B37" s="27">
        <v>21.0</v>
      </c>
      <c r="C37" s="27">
        <f>$C$7+21-1</f>
        <v>55</v>
      </c>
      <c r="D37" s="25">
        <f t="shared" si="5"/>
        <v>2575122.432</v>
      </c>
      <c r="E37" s="25">
        <f t="shared" si="6"/>
        <v>35194940.6</v>
      </c>
      <c r="F37" s="25">
        <f t="shared" si="2"/>
        <v>2815595.248</v>
      </c>
      <c r="G37" s="25">
        <f t="shared" si="3"/>
        <v>35435413.42</v>
      </c>
      <c r="H37" s="25">
        <f t="shared" si="4"/>
        <v>214593.536</v>
      </c>
    </row>
    <row r="38">
      <c r="B38" s="27">
        <v>22.0</v>
      </c>
      <c r="C38" s="27">
        <f>$C$7+22-1</f>
        <v>56</v>
      </c>
      <c r="D38" s="25">
        <f t="shared" si="5"/>
        <v>2729629.778</v>
      </c>
      <c r="E38" s="25">
        <f t="shared" si="6"/>
        <v>35435413.42</v>
      </c>
      <c r="F38" s="25">
        <f t="shared" si="2"/>
        <v>2834833.073</v>
      </c>
      <c r="G38" s="25">
        <f t="shared" si="3"/>
        <v>35540616.71</v>
      </c>
      <c r="H38" s="25">
        <f t="shared" si="4"/>
        <v>227469.1481</v>
      </c>
    </row>
    <row r="39">
      <c r="B39" s="27">
        <v>23.0</v>
      </c>
      <c r="C39" s="27">
        <f>$C$7+23-1</f>
        <v>57</v>
      </c>
      <c r="D39" s="25">
        <f t="shared" si="5"/>
        <v>2893407.564</v>
      </c>
      <c r="E39" s="25">
        <f t="shared" si="6"/>
        <v>35540616.71</v>
      </c>
      <c r="F39" s="25">
        <f t="shared" si="2"/>
        <v>2843249.337</v>
      </c>
      <c r="G39" s="25">
        <f t="shared" si="3"/>
        <v>35490458.49</v>
      </c>
      <c r="H39" s="25">
        <f t="shared" si="4"/>
        <v>241117.297</v>
      </c>
    </row>
    <row r="40">
      <c r="B40" s="27">
        <v>24.0</v>
      </c>
      <c r="C40" s="27">
        <f>$C$7+24-1</f>
        <v>58</v>
      </c>
      <c r="D40" s="25">
        <f t="shared" si="5"/>
        <v>3067012.018</v>
      </c>
      <c r="E40" s="25">
        <f t="shared" si="6"/>
        <v>35490458.49</v>
      </c>
      <c r="F40" s="25">
        <f t="shared" si="2"/>
        <v>2839236.679</v>
      </c>
      <c r="G40" s="25">
        <f t="shared" si="3"/>
        <v>35262683.15</v>
      </c>
      <c r="H40" s="25">
        <f t="shared" si="4"/>
        <v>255584.3349</v>
      </c>
    </row>
    <row r="41">
      <c r="B41" s="27">
        <v>25.0</v>
      </c>
      <c r="C41" s="27">
        <f>$C$7+25-1</f>
        <v>59</v>
      </c>
      <c r="D41" s="25">
        <f t="shared" si="5"/>
        <v>3251032.739</v>
      </c>
      <c r="E41" s="25">
        <f t="shared" si="6"/>
        <v>35262683.15</v>
      </c>
      <c r="F41" s="25">
        <f t="shared" si="2"/>
        <v>2821014.652</v>
      </c>
      <c r="G41" s="25">
        <f t="shared" si="3"/>
        <v>34832665.06</v>
      </c>
      <c r="H41" s="25">
        <f t="shared" si="4"/>
        <v>270919.3949</v>
      </c>
    </row>
    <row r="42">
      <c r="B42" s="27">
        <v>26.0</v>
      </c>
      <c r="C42" s="27">
        <f>$C$7+26-1</f>
        <v>60</v>
      </c>
      <c r="D42" s="25">
        <f t="shared" si="5"/>
        <v>3446094.704</v>
      </c>
      <c r="E42" s="25">
        <f t="shared" si="6"/>
        <v>34832665.06</v>
      </c>
      <c r="F42" s="25">
        <f t="shared" si="2"/>
        <v>2786613.205</v>
      </c>
      <c r="G42" s="25">
        <f t="shared" si="3"/>
        <v>34173183.56</v>
      </c>
      <c r="H42" s="25">
        <f t="shared" si="4"/>
        <v>287174.5586</v>
      </c>
    </row>
    <row r="43">
      <c r="B43" s="27">
        <v>27.0</v>
      </c>
      <c r="C43" s="27">
        <f>$C$7+27-1</f>
        <v>61</v>
      </c>
      <c r="D43" s="25">
        <f t="shared" si="5"/>
        <v>3652860.386</v>
      </c>
      <c r="E43" s="25">
        <f t="shared" si="6"/>
        <v>34173183.56</v>
      </c>
      <c r="F43" s="25">
        <f t="shared" si="2"/>
        <v>2733854.685</v>
      </c>
      <c r="G43" s="25">
        <f t="shared" si="3"/>
        <v>33254177.86</v>
      </c>
      <c r="H43" s="25">
        <f t="shared" si="4"/>
        <v>304405.0322</v>
      </c>
    </row>
    <row r="44">
      <c r="B44" s="27">
        <v>28.0</v>
      </c>
      <c r="C44" s="27">
        <f>$C$7+28-1</f>
        <v>62</v>
      </c>
      <c r="D44" s="25">
        <f t="shared" si="5"/>
        <v>3872032.009</v>
      </c>
      <c r="E44" s="25">
        <f t="shared" si="6"/>
        <v>33254177.86</v>
      </c>
      <c r="F44" s="25">
        <f t="shared" si="2"/>
        <v>2660334.229</v>
      </c>
      <c r="G44" s="25">
        <f t="shared" si="3"/>
        <v>32042480.08</v>
      </c>
      <c r="H44" s="25">
        <f t="shared" si="4"/>
        <v>322669.3341</v>
      </c>
    </row>
    <row r="45">
      <c r="B45" s="27">
        <v>29.0</v>
      </c>
      <c r="C45" s="27">
        <f>$C$7+29-1</f>
        <v>63</v>
      </c>
      <c r="D45" s="25">
        <f t="shared" si="5"/>
        <v>4104353.93</v>
      </c>
      <c r="E45" s="25">
        <f t="shared" si="6"/>
        <v>32042480.08</v>
      </c>
      <c r="F45" s="25">
        <f t="shared" si="2"/>
        <v>2563398.406</v>
      </c>
      <c r="G45" s="25">
        <f t="shared" si="3"/>
        <v>30501524.56</v>
      </c>
      <c r="H45" s="25">
        <f t="shared" si="4"/>
        <v>342029.4941</v>
      </c>
    </row>
    <row r="46">
      <c r="B46" s="27">
        <v>30.0</v>
      </c>
      <c r="C46" s="27">
        <f>$C$7+30-1</f>
        <v>64</v>
      </c>
      <c r="D46" s="25">
        <f t="shared" si="5"/>
        <v>4350615.165</v>
      </c>
      <c r="E46" s="25">
        <f t="shared" si="6"/>
        <v>30501524.56</v>
      </c>
      <c r="F46" s="25">
        <f t="shared" si="2"/>
        <v>2440121.965</v>
      </c>
      <c r="G46" s="25">
        <f t="shared" si="3"/>
        <v>28591031.36</v>
      </c>
      <c r="H46" s="25">
        <f t="shared" si="4"/>
        <v>362551.2638</v>
      </c>
    </row>
    <row r="47">
      <c r="B47" s="27">
        <v>31.0</v>
      </c>
      <c r="C47" s="27">
        <f>$C$7+31-1</f>
        <v>65</v>
      </c>
      <c r="D47" s="25">
        <f t="shared" si="5"/>
        <v>4611652.075</v>
      </c>
      <c r="E47" s="25">
        <f t="shared" si="6"/>
        <v>28591031.36</v>
      </c>
      <c r="F47" s="25">
        <f t="shared" si="2"/>
        <v>2287282.508</v>
      </c>
      <c r="G47" s="25">
        <f t="shared" si="3"/>
        <v>26266661.79</v>
      </c>
      <c r="H47" s="25">
        <f t="shared" si="4"/>
        <v>384304.3396</v>
      </c>
    </row>
    <row r="48">
      <c r="B48" s="27">
        <v>32.0</v>
      </c>
      <c r="C48" s="27">
        <f>$C$7+32-1</f>
        <v>66</v>
      </c>
      <c r="D48" s="25">
        <f t="shared" si="5"/>
        <v>4888351.2</v>
      </c>
      <c r="E48" s="25">
        <f t="shared" si="6"/>
        <v>26266661.79</v>
      </c>
      <c r="F48" s="25">
        <f t="shared" si="2"/>
        <v>2101332.943</v>
      </c>
      <c r="G48" s="25">
        <f t="shared" si="3"/>
        <v>23479643.53</v>
      </c>
      <c r="H48" s="25">
        <f t="shared" si="4"/>
        <v>407362.6</v>
      </c>
    </row>
    <row r="49">
      <c r="B49" s="27">
        <v>33.0</v>
      </c>
      <c r="C49" s="27">
        <f>$C$7+33-1</f>
        <v>67</v>
      </c>
      <c r="D49" s="25">
        <f t="shared" si="5"/>
        <v>5181652.272</v>
      </c>
      <c r="E49" s="25">
        <f t="shared" si="6"/>
        <v>23479643.53</v>
      </c>
      <c r="F49" s="25">
        <f t="shared" si="2"/>
        <v>1878371.483</v>
      </c>
      <c r="G49" s="25">
        <f t="shared" si="3"/>
        <v>20176362.74</v>
      </c>
      <c r="H49" s="25">
        <f t="shared" si="4"/>
        <v>431804.356</v>
      </c>
    </row>
    <row r="50">
      <c r="B50" s="27">
        <v>34.0</v>
      </c>
      <c r="C50" s="27">
        <f>$C$7+34-1</f>
        <v>68</v>
      </c>
      <c r="D50" s="25">
        <f t="shared" si="5"/>
        <v>5492551.408</v>
      </c>
      <c r="E50" s="25">
        <f t="shared" si="6"/>
        <v>20176362.74</v>
      </c>
      <c r="F50" s="25">
        <f t="shared" si="2"/>
        <v>1614109.019</v>
      </c>
      <c r="G50" s="25">
        <f t="shared" si="3"/>
        <v>16297920.35</v>
      </c>
      <c r="H50" s="25">
        <f t="shared" si="4"/>
        <v>457712.6174</v>
      </c>
    </row>
    <row r="51">
      <c r="B51" s="27">
        <v>35.0</v>
      </c>
      <c r="C51" s="27">
        <f>$C$7+35-1</f>
        <v>69</v>
      </c>
      <c r="D51" s="25">
        <f t="shared" si="5"/>
        <v>5822104.493</v>
      </c>
      <c r="E51" s="25">
        <f t="shared" si="6"/>
        <v>16297920.35</v>
      </c>
      <c r="F51" s="25">
        <f t="shared" si="2"/>
        <v>1303833.628</v>
      </c>
      <c r="G51" s="25">
        <f t="shared" si="3"/>
        <v>11779649.49</v>
      </c>
      <c r="H51" s="25">
        <f t="shared" si="4"/>
        <v>485175.3744</v>
      </c>
    </row>
    <row r="52">
      <c r="A52" s="48"/>
      <c r="B52" s="49" t="s">
        <v>100</v>
      </c>
      <c r="C52" s="49" t="str">
        <f>IF(G51&gt;0,"SURVIVES — ₹"&amp;TEXT(G51,"##,##0")&amp;" left","❌ DEPLETED")</f>
        <v>SURVIVES — ₹11,779,649 left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9" t="s">
        <v>101</v>
      </c>
      <c r="C53" s="62">
        <f>SUM(D17:D51)</f>
        <v>89474923.6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/>
    <row r="55">
      <c r="B55" s="63" t="s">
        <v>35</v>
      </c>
    </row>
    <row r="56">
      <c r="B56" s="52" t="s">
        <v>36</v>
      </c>
    </row>
    <row r="57">
      <c r="B57" s="53" t="s">
        <v>102</v>
      </c>
    </row>
    <row r="58">
      <c r="B58" s="53" t="s">
        <v>103</v>
      </c>
    </row>
    <row r="59">
      <c r="B59" s="53" t="s">
        <v>40</v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B2:H2"/>
    <mergeCell ref="B3:C3"/>
  </mergeCells>
  <printOptions/>
  <pageMargins bottom="1.0" footer="0.0" header="0.0" left="0.75" right="0.75" top="1.0"/>
  <pageSetup paperSize="9" orientation="portrait"/>
  <drawing r:id="rId1"/>
</worksheet>
</file>